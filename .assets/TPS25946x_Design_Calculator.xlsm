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G:\CODE\git_hub\GM-Consult-IO\MDD400_Hardware\.assets\"/>
    </mc:Choice>
  </mc:AlternateContent>
  <xr:revisionPtr revIDLastSave="0" documentId="13_ncr:1_{AB411BA6-0A1C-4293-98BA-547067F7E7F0}" xr6:coauthVersionLast="47" xr6:coauthVersionMax="47" xr10:uidLastSave="{00000000-0000-0000-0000-000000000000}"/>
  <bookViews>
    <workbookView xWindow="38280" yWindow="-225" windowWidth="38640" windowHeight="21840" xr2:uid="{00000000-000D-0000-FFFF-FFFF00000000}"/>
  </bookViews>
  <sheets>
    <sheet name="Calculation Sheet" sheetId="1" r:id="rId1"/>
    <sheet name="Res EIA Tables" sheetId="11" r:id="rId2"/>
    <sheet name="Cap Tables" sheetId="13" r:id="rId3"/>
    <sheet name="TREL PLOT" sheetId="15" r:id="rId4"/>
    <sheet name="TSD PLOT" sheetId="16" r:id="rId5"/>
  </sheets>
  <externalReferences>
    <externalReference r:id="rId6"/>
  </externalReferences>
  <definedNames>
    <definedName name="_xlnm._FilterDatabase" localSheetId="0" hidden="1">'Calculation Sheet'!#REF!</definedName>
    <definedName name="_xlnm._FilterDatabase" localSheetId="3" hidden="1">'TREL PLOT'!$A$1:$G$21</definedName>
    <definedName name="Cdvdt_ext">'Calculation Sheet'!$D$86</definedName>
    <definedName name="Cdvdt_ext_cal1">'Calculation Sheet'!$D$83</definedName>
    <definedName name="Cext_dvdt_cal2">'Calculation Sheet'!$D$84</definedName>
    <definedName name="Cout">'Calculation Sheet'!$D$18</definedName>
    <definedName name="Gain_dVdt">'Calculation Sheet'!#REF!</definedName>
    <definedName name="GainIMON">'Calculation Sheet'!$D$127</definedName>
    <definedName name="I_dVdt">'Calculation Sheet'!$D$78</definedName>
    <definedName name="Icharge">'Calculation Sheet'!$D$87</definedName>
    <definedName name="Icharge_req">'Calculation Sheet'!$D$82</definedName>
    <definedName name="Ilimit">'Calculation Sheet'!$D$22</definedName>
    <definedName name="Ilimit_final">'Calculation Sheet'!$D$73</definedName>
    <definedName name="Imax">'Calculation Sheet'!$D$21</definedName>
    <definedName name="Min_Ilim">'[1]Calculation Sheet'!$G$39</definedName>
    <definedName name="Ncalc">'[1]Calculation Sheet'!$H$84</definedName>
    <definedName name="NRETRY">'[1]Calculation Sheet'!$D$20</definedName>
    <definedName name="OVref">'Calculation Sheet'!$D$126</definedName>
    <definedName name="OVset">'Calculation Sheet'!#REF!</definedName>
    <definedName name="PGTH">'Calculation Sheet'!$D$128</definedName>
    <definedName name="Rdson_125deg">'Calculation Sheet'!$D$119</definedName>
    <definedName name="Rdson_25deg">'Calculation Sheet'!$D$118</definedName>
    <definedName name="RILIM">'[1]Calculation Sheet'!$D$38</definedName>
    <definedName name="RILM">'Calculation Sheet'!$D$72</definedName>
    <definedName name="Rlimit">'Calculation Sheet'!#REF!</definedName>
    <definedName name="Rlstart">'Calculation Sheet'!$D$19</definedName>
    <definedName name="RMON_sel">'[1]Calculation Sheet'!$D$44</definedName>
    <definedName name="RpUVLO">'Calculation Sheet'!#REF!</definedName>
    <definedName name="Tchg_dvdt">'Calculation Sheet'!$D$89</definedName>
    <definedName name="Tchg_fastest">'Calculation Sheet'!$D$80</definedName>
    <definedName name="Tchg_req">'Calculation Sheet'!$D$81</definedName>
    <definedName name="tITIMER">'[1]Calculation Sheet'!$D$17</definedName>
    <definedName name="tLDSTRT">'[1]Calculation Sheet'!$D$22</definedName>
    <definedName name="tRETRY_DLY">'[1]Calculation Sheet'!$D$19</definedName>
    <definedName name="UVref">'Calculation Sheet'!$D$125</definedName>
    <definedName name="Uvref_fall">'Calculation Sheet'!$D$140</definedName>
    <definedName name="Uvref_rise">'Calculation Sheet'!$D$139</definedName>
    <definedName name="UVset">'Calculation Sheet'!$D$8</definedName>
    <definedName name="Vcc_max">'Calculation Sheet'!$D$14</definedName>
    <definedName name="Vcc_nom">'Calculation Sheet'!$D$6</definedName>
    <definedName name="Vimon_max">'[1]Calculation Sheet'!$D$24</definedName>
    <definedName name="VUVP">'Calculation Sheet'!$D$17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9" i="1" l="1"/>
  <c r="F87" i="1" s="1"/>
  <c r="F73" i="1" l="1"/>
  <c r="F74" i="1" s="1"/>
  <c r="D31" i="1"/>
  <c r="D33" i="1" s="1"/>
  <c r="L55" i="1" s="1"/>
  <c r="L56" i="1" s="1"/>
  <c r="G35" i="1" s="1"/>
  <c r="D35" i="1" s="1"/>
  <c r="F35" i="1"/>
  <c r="F37" i="1" s="1"/>
  <c r="D27" i="1"/>
  <c r="D28" i="1" l="1"/>
  <c r="K34" i="1"/>
  <c r="F36" i="1"/>
  <c r="D38" i="1"/>
  <c r="D36" i="1"/>
  <c r="K33" i="1" s="1"/>
  <c r="D37" i="1"/>
  <c r="K32" i="1" s="1"/>
  <c r="D109" i="1" l="1"/>
  <c r="D70" i="1" l="1"/>
  <c r="L57" i="1" s="1"/>
  <c r="L58" i="1" s="1"/>
  <c r="G72" i="1" s="1"/>
  <c r="D14" i="1"/>
  <c r="D93" i="1" l="1"/>
  <c r="Y99" i="1" l="1"/>
  <c r="F66" i="1" l="1"/>
  <c r="F65" i="1"/>
  <c r="D104" i="1" l="1"/>
  <c r="G63" i="16" l="1"/>
  <c r="G62" i="16"/>
  <c r="G61" i="16"/>
  <c r="G60" i="16"/>
  <c r="G59" i="16"/>
  <c r="G58" i="16"/>
  <c r="G57" i="16"/>
  <c r="G56" i="16"/>
  <c r="G55" i="16"/>
  <c r="G54" i="16"/>
  <c r="E54" i="16"/>
  <c r="G53" i="16"/>
  <c r="E53" i="16"/>
  <c r="G52" i="16"/>
  <c r="E52" i="16"/>
  <c r="G51" i="16"/>
  <c r="E51" i="16"/>
  <c r="G50" i="16"/>
  <c r="E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E20" i="16"/>
  <c r="G19" i="16"/>
  <c r="E19" i="16"/>
  <c r="G18" i="16"/>
  <c r="E18" i="16"/>
  <c r="G17" i="16"/>
  <c r="G16" i="16"/>
  <c r="G15" i="16"/>
  <c r="G14" i="16"/>
  <c r="G13" i="16"/>
  <c r="G12" i="16"/>
  <c r="G11" i="16"/>
  <c r="G10" i="16"/>
  <c r="G9" i="16"/>
  <c r="G8" i="16"/>
  <c r="G7" i="16"/>
  <c r="G6" i="16"/>
  <c r="G5" i="16"/>
  <c r="G4" i="16"/>
  <c r="E3" i="16"/>
  <c r="D80" i="1" l="1"/>
  <c r="D105" i="1" l="1"/>
  <c r="F21" i="15"/>
  <c r="F20" i="15"/>
  <c r="F19" i="15"/>
  <c r="F18" i="15"/>
  <c r="F17" i="15"/>
  <c r="F16" i="15"/>
  <c r="F15" i="15"/>
  <c r="F14" i="15"/>
  <c r="F13" i="15"/>
  <c r="F12" i="15"/>
  <c r="F11" i="15"/>
  <c r="F10" i="15"/>
  <c r="F9" i="15"/>
  <c r="F8" i="15"/>
  <c r="F7" i="15"/>
  <c r="F6" i="15"/>
  <c r="F5" i="15"/>
  <c r="F4" i="15"/>
  <c r="G3" i="15"/>
  <c r="F3" i="15"/>
  <c r="G2" i="15"/>
  <c r="F2" i="15"/>
  <c r="D84" i="1" l="1"/>
  <c r="D83" i="1"/>
  <c r="D79" i="1"/>
  <c r="G85" i="1" l="1"/>
  <c r="D62" i="1"/>
  <c r="L53" i="1" s="1"/>
  <c r="L54" i="1" s="1"/>
  <c r="D64" i="1" l="1"/>
  <c r="D67" i="1" s="1"/>
  <c r="G19" i="1"/>
  <c r="D65" i="1" l="1"/>
  <c r="D66" i="1"/>
  <c r="L50" i="1"/>
  <c r="L51" i="1" s="1"/>
  <c r="F53" i="1" l="1"/>
  <c r="F52" i="1"/>
  <c r="F51" i="1"/>
  <c r="F50" i="1"/>
  <c r="D42" i="1" l="1"/>
  <c r="D43" i="1" l="1"/>
  <c r="L42" i="1"/>
  <c r="D46" i="1" l="1"/>
  <c r="L47" i="1" s="1"/>
  <c r="D45" i="1" l="1"/>
  <c r="L48" i="1"/>
  <c r="G49" i="1" s="1"/>
  <c r="L44" i="1" l="1"/>
  <c r="L45" i="1" l="1"/>
  <c r="G48" i="1" s="1"/>
  <c r="D54" i="1" l="1"/>
  <c r="D51" i="1"/>
  <c r="J43" i="1" s="1"/>
  <c r="D53" i="1"/>
  <c r="J45" i="1" s="1"/>
  <c r="D52" i="1"/>
  <c r="J46" i="1" s="1"/>
  <c r="D50" i="1"/>
  <c r="J44" i="1" s="1"/>
  <c r="B74" i="13"/>
  <c r="B73" i="13"/>
  <c r="B71" i="13"/>
  <c r="B70" i="13"/>
  <c r="B69" i="13" s="1"/>
  <c r="B67" i="13"/>
  <c r="B66" i="13" s="1"/>
  <c r="B65" i="13" s="1"/>
  <c r="B63" i="13"/>
  <c r="B62" i="13"/>
  <c r="B61" i="13" s="1"/>
  <c r="B59" i="13"/>
  <c r="B58" i="13" s="1"/>
  <c r="B57" i="13" s="1"/>
  <c r="B55" i="13"/>
  <c r="B54" i="13"/>
  <c r="B53" i="13" s="1"/>
  <c r="B51" i="13"/>
  <c r="B50" i="13" s="1"/>
  <c r="B49" i="13" s="1"/>
  <c r="B47" i="13"/>
  <c r="B46" i="13" s="1"/>
  <c r="B45" i="13" s="1"/>
  <c r="B43" i="13"/>
  <c r="B42" i="13" s="1"/>
  <c r="B41" i="13" s="1"/>
  <c r="B39" i="13"/>
  <c r="B38" i="13"/>
  <c r="B37" i="13" s="1"/>
  <c r="B35" i="13"/>
  <c r="B34" i="13" s="1"/>
  <c r="B33" i="13" s="1"/>
  <c r="B31" i="13"/>
  <c r="B30" i="13" s="1"/>
  <c r="B29" i="13" s="1"/>
  <c r="C74" i="13"/>
  <c r="C73" i="13" s="1"/>
  <c r="C71" i="13"/>
  <c r="C70" i="13" s="1"/>
  <c r="C69" i="13" s="1"/>
  <c r="C67" i="13"/>
  <c r="C66" i="13"/>
  <c r="C65" i="13" s="1"/>
  <c r="C63" i="13"/>
  <c r="C62" i="13"/>
  <c r="C61" i="13" s="1"/>
  <c r="C59" i="13"/>
  <c r="C58" i="13"/>
  <c r="C57" i="13" s="1"/>
  <c r="C55" i="13"/>
  <c r="C54" i="13"/>
  <c r="C53" i="13"/>
  <c r="C51" i="13"/>
  <c r="C50" i="13" s="1"/>
  <c r="C49" i="13" s="1"/>
  <c r="C47" i="13"/>
  <c r="C46" i="13" s="1"/>
  <c r="C45" i="13" s="1"/>
  <c r="C43" i="13"/>
  <c r="C42" i="13"/>
  <c r="C41" i="13" s="1"/>
  <c r="C39" i="13"/>
  <c r="C38" i="13" s="1"/>
  <c r="C37" i="13" s="1"/>
  <c r="C35" i="13"/>
  <c r="C34" i="13" s="1"/>
  <c r="C33" i="13" s="1"/>
  <c r="C31" i="13"/>
  <c r="C30" i="13" s="1"/>
  <c r="C29" i="13" s="1"/>
  <c r="C27" i="13"/>
  <c r="C26" i="13" s="1"/>
  <c r="C25" i="13" s="1"/>
  <c r="C23" i="13"/>
  <c r="C22" i="13" s="1"/>
  <c r="C21" i="13" s="1"/>
  <c r="C19" i="13"/>
  <c r="C18" i="13" s="1"/>
  <c r="C17" i="13" s="1"/>
  <c r="G110" i="1" l="1"/>
  <c r="G87" i="1"/>
  <c r="D86" i="1" s="1"/>
  <c r="D87" i="1" s="1"/>
  <c r="D73" i="1"/>
  <c r="K70" i="1" l="1"/>
  <c r="D74" i="1"/>
  <c r="K69" i="1"/>
  <c r="D88" i="1"/>
  <c r="Y98" i="1"/>
  <c r="Y100" i="1" s="1"/>
  <c r="D90" i="1"/>
  <c r="D110" i="1"/>
  <c r="D111" i="1" s="1"/>
  <c r="G88" i="1"/>
  <c r="D94" i="1" l="1"/>
  <c r="U86" i="1"/>
  <c r="D89" i="1"/>
  <c r="Z98" i="1" l="1"/>
  <c r="Z89" i="1"/>
  <c r="AA100" i="1" s="1"/>
  <c r="Y93" i="1"/>
  <c r="AA94" i="1"/>
  <c r="Z93" i="1"/>
  <c r="I93" i="1"/>
  <c r="AA93" i="1" s="1"/>
  <c r="Y94" i="1"/>
  <c r="Z91" i="1"/>
  <c r="Z99" i="1"/>
  <c r="Z90" i="1"/>
  <c r="AA95" i="1" l="1"/>
  <c r="AB93" i="1" s="1"/>
  <c r="Z94" i="1"/>
  <c r="Y95" i="1"/>
  <c r="AA97" i="1" s="1"/>
  <c r="Z100" i="1"/>
  <c r="AD86" i="1" l="1"/>
  <c r="AR96" i="1"/>
  <c r="AA99" i="1"/>
  <c r="AD85" i="1"/>
  <c r="AF96" i="1"/>
  <c r="AA98" i="1"/>
  <c r="V86" i="1"/>
  <c r="AL96" i="1"/>
  <c r="AA96" i="1"/>
  <c r="D95" i="1" l="1"/>
  <c r="D9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kunalgoel</author>
    <author>a0393740</author>
  </authors>
  <commentList>
    <comment ref="G19" authorId="0" shapeId="0" xr:uid="{D362A1D9-FAFE-41A8-B79F-C32ED8878AA9}">
      <text>
        <r>
          <rPr>
            <b/>
            <sz val="9"/>
            <color indexed="81"/>
            <rFont val="Tahoma"/>
            <family val="2"/>
          </rPr>
          <t>kunalgoel:</t>
        </r>
        <r>
          <rPr>
            <sz val="9"/>
            <color indexed="81"/>
            <rFont val="Tahoma"/>
            <family val="2"/>
          </rPr>
          <t xml:space="preserve">
Min Rlstart allowed</t>
        </r>
      </text>
    </comment>
    <comment ref="C32" authorId="1" shapeId="0" xr:uid="{527D81B3-8102-452A-A2D7-DAEA8A6F0F53}">
      <text>
        <r>
          <rPr>
            <sz val="9"/>
            <color indexed="81"/>
            <rFont val="Tahoma"/>
            <family val="2"/>
          </rPr>
          <t>Higher value will limit the input current drawn from source</t>
        </r>
      </text>
    </comment>
    <comment ref="D32" authorId="0" shapeId="0" xr:uid="{244D1590-A7D1-48C4-8FF5-890C27231246}">
      <text>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C44" authorId="0" shapeId="0" xr:uid="{62B3DE20-F4C6-49E0-9583-1772FA5B96D3}">
      <text>
        <r>
          <rPr>
            <b/>
            <sz val="9"/>
            <color indexed="81"/>
            <rFont val="Tahoma"/>
            <family val="2"/>
          </rPr>
          <t>kunalgoel:</t>
        </r>
        <r>
          <rPr>
            <sz val="9"/>
            <color indexed="81"/>
            <rFont val="Tahoma"/>
            <family val="2"/>
          </rPr>
          <t xml:space="preserve">
Higher value will limit the leakage current draw from supply</t>
        </r>
      </text>
    </comment>
    <comment ref="D44" authorId="0" shapeId="0" xr:uid="{EB293768-640F-4966-A01B-9D4FA0CA6BAF}">
      <text>
        <r>
          <rPr>
            <b/>
            <sz val="9"/>
            <color indexed="81"/>
            <rFont val="Tahoma"/>
            <family val="2"/>
          </rPr>
          <t>kunalgoel:</t>
        </r>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D61" authorId="0" shapeId="0" xr:uid="{1E450653-1535-4ADF-98D0-265ACB6D7679}">
      <text>
        <r>
          <rPr>
            <sz val="9"/>
            <color indexed="81"/>
            <rFont val="Tahoma"/>
            <family val="2"/>
          </rPr>
          <t xml:space="preserve">
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Z90" authorId="0" shapeId="0" xr:uid="{B33D3CCA-113F-4802-9C75-F222929662A4}">
      <text>
        <r>
          <rPr>
            <b/>
            <sz val="9"/>
            <color indexed="81"/>
            <rFont val="Tahoma"/>
            <family val="2"/>
          </rPr>
          <t>kunalgoel:</t>
        </r>
        <r>
          <rPr>
            <sz val="9"/>
            <color indexed="81"/>
            <rFont val="Tahoma"/>
            <family val="2"/>
          </rPr>
          <t xml:space="preserve">
85C for time vds&lt;5.6</t>
        </r>
      </text>
    </comment>
    <comment ref="Z91" authorId="0" shapeId="0" xr:uid="{3DF3FAF4-87F8-48F3-89E1-8813FE4AC0CA}">
      <text>
        <r>
          <rPr>
            <b/>
            <sz val="9"/>
            <color indexed="81"/>
            <rFont val="Tahoma"/>
            <family val="2"/>
          </rPr>
          <t>kunalgoel:</t>
        </r>
        <r>
          <rPr>
            <sz val="9"/>
            <color indexed="81"/>
            <rFont val="Tahoma"/>
            <family val="2"/>
          </rPr>
          <t xml:space="preserve">
25</t>
        </r>
      </text>
    </comment>
    <comment ref="I93" authorId="0" shapeId="0" xr:uid="{319FFE02-0AED-4DA5-994A-DB8A09E42DC6}">
      <text>
        <r>
          <rPr>
            <b/>
            <sz val="9"/>
            <color indexed="81"/>
            <rFont val="Tahoma"/>
            <family val="2"/>
          </rPr>
          <t>kunalgoel:</t>
        </r>
        <r>
          <rPr>
            <sz val="9"/>
            <color indexed="81"/>
            <rFont val="Tahoma"/>
            <family val="2"/>
          </rPr>
          <t xml:space="preserve">
time for vin-vout falling to 5.6 from vin</t>
        </r>
      </text>
    </comment>
    <comment ref="Z93" authorId="0" shapeId="0" xr:uid="{86FF9140-A6C3-4FB8-9DF8-469A089299B7}">
      <text>
        <r>
          <rPr>
            <b/>
            <sz val="9"/>
            <color indexed="81"/>
            <rFont val="Tahoma"/>
            <family val="2"/>
          </rPr>
          <t>kunalgoel:</t>
        </r>
        <r>
          <rPr>
            <sz val="9"/>
            <color indexed="81"/>
            <rFont val="Tahoma"/>
            <family val="2"/>
          </rPr>
          <t xml:space="preserve">
125</t>
        </r>
      </text>
    </comment>
    <comment ref="AB93" authorId="0" shapeId="0" xr:uid="{E64243E4-9A4F-4982-B6B1-1B6BD919DB44}">
      <text>
        <r>
          <rPr>
            <b/>
            <sz val="9"/>
            <color indexed="81"/>
            <rFont val="Tahoma"/>
            <family val="2"/>
          </rPr>
          <t>kunalgoel:</t>
        </r>
        <r>
          <rPr>
            <sz val="9"/>
            <color indexed="81"/>
            <rFont val="Tahoma"/>
            <family val="2"/>
          </rPr>
          <t xml:space="preserve">
actual energy for time vds&gt;5.6</t>
        </r>
      </text>
    </comment>
    <comment ref="Z94" authorId="0" shapeId="0" xr:uid="{CDC020F0-D890-465D-BA9F-C73B5E5427FB}">
      <text>
        <r>
          <rPr>
            <b/>
            <sz val="9"/>
            <color indexed="81"/>
            <rFont val="Tahoma"/>
            <family val="2"/>
          </rPr>
          <t>kunalgoel:</t>
        </r>
        <r>
          <rPr>
            <sz val="9"/>
            <color indexed="81"/>
            <rFont val="Tahoma"/>
            <family val="2"/>
          </rPr>
          <t xml:space="preserve">
for time vds&gt;5.6</t>
        </r>
      </text>
    </comment>
    <comment ref="AA96" authorId="0" shapeId="0" xr:uid="{06C7AC8A-D733-426D-BE86-F91578E92C46}">
      <text>
        <r>
          <rPr>
            <b/>
            <sz val="9"/>
            <color indexed="81"/>
            <rFont val="Tahoma"/>
            <family val="2"/>
          </rPr>
          <t>kunalgoel:</t>
        </r>
        <r>
          <rPr>
            <sz val="9"/>
            <color indexed="81"/>
            <rFont val="Tahoma"/>
            <family val="2"/>
          </rPr>
          <t xml:space="preserve">
85c</t>
        </r>
      </text>
    </comment>
    <comment ref="AF96" authorId="0" shapeId="0" xr:uid="{4A632067-EE66-448B-B2D2-A07A9B014340}">
      <text>
        <r>
          <rPr>
            <b/>
            <sz val="9"/>
            <color indexed="81"/>
            <rFont val="Tahoma"/>
            <family val="2"/>
          </rPr>
          <t>kunalgoel:</t>
        </r>
        <r>
          <rPr>
            <sz val="9"/>
            <color indexed="81"/>
            <rFont val="Tahoma"/>
            <family val="2"/>
          </rPr>
          <t xml:space="preserve">
25c</t>
        </r>
      </text>
    </comment>
    <comment ref="AL96" authorId="0" shapeId="0" xr:uid="{B77BB7D7-EE09-40CC-8EF8-1F089C3E4374}">
      <text>
        <r>
          <rPr>
            <b/>
            <sz val="9"/>
            <color indexed="81"/>
            <rFont val="Tahoma"/>
            <family val="2"/>
          </rPr>
          <t>kunalgoel:</t>
        </r>
        <r>
          <rPr>
            <sz val="9"/>
            <color indexed="81"/>
            <rFont val="Tahoma"/>
            <family val="2"/>
          </rPr>
          <t xml:space="preserve">
125c
</t>
        </r>
      </text>
    </comment>
    <comment ref="AA97" authorId="0" shapeId="0" xr:uid="{B4D75FB7-6D1B-470E-B8D4-22DC2B43B086}">
      <text>
        <r>
          <rPr>
            <b/>
            <sz val="9"/>
            <color indexed="81"/>
            <rFont val="Tahoma"/>
            <family val="2"/>
          </rPr>
          <t>kunalgoel:</t>
        </r>
        <r>
          <rPr>
            <sz val="9"/>
            <color indexed="81"/>
            <rFont val="Tahoma"/>
            <family val="2"/>
          </rPr>
          <t xml:space="preserve">
85c</t>
        </r>
      </text>
    </comment>
    <comment ref="Z98" authorId="0" shapeId="0" xr:uid="{ED548ED2-94BA-4556-B48D-B782C48D73CB}">
      <text>
        <r>
          <rPr>
            <b/>
            <sz val="9"/>
            <color indexed="81"/>
            <rFont val="Tahoma"/>
            <family val="2"/>
          </rPr>
          <t>kunalgoel:</t>
        </r>
        <r>
          <rPr>
            <sz val="9"/>
            <color indexed="81"/>
            <rFont val="Tahoma"/>
            <family val="2"/>
          </rPr>
          <t xml:space="preserve">
85C for time vds&lt;5.6</t>
        </r>
      </text>
    </comment>
    <comment ref="AA98" authorId="0" shapeId="0" xr:uid="{C10127C6-DFB6-40DE-915D-3B0B1E4EE61C}">
      <text>
        <r>
          <rPr>
            <b/>
            <sz val="9"/>
            <color indexed="81"/>
            <rFont val="Tahoma"/>
            <family val="2"/>
          </rPr>
          <t>kunalgoel:</t>
        </r>
        <r>
          <rPr>
            <sz val="9"/>
            <color indexed="81"/>
            <rFont val="Tahoma"/>
            <family val="2"/>
          </rPr>
          <t xml:space="preserve">
25c</t>
        </r>
      </text>
    </comment>
    <comment ref="Z99" authorId="0" shapeId="0" xr:uid="{DA60B843-554D-4116-9911-78D73FB8CC6F}">
      <text>
        <r>
          <rPr>
            <b/>
            <sz val="9"/>
            <color indexed="81"/>
            <rFont val="Tahoma"/>
            <family val="2"/>
          </rPr>
          <t>kunalgoel:</t>
        </r>
        <r>
          <rPr>
            <sz val="9"/>
            <color indexed="81"/>
            <rFont val="Tahoma"/>
            <family val="2"/>
          </rPr>
          <t xml:space="preserve">
25</t>
        </r>
      </text>
    </comment>
    <comment ref="AA99" authorId="0" shapeId="0" xr:uid="{9A72A88D-216E-4F7B-8E6D-642C3CBC270A}">
      <text>
        <r>
          <rPr>
            <b/>
            <sz val="9"/>
            <color indexed="81"/>
            <rFont val="Tahoma"/>
            <family val="2"/>
          </rPr>
          <t>kunalgoel:</t>
        </r>
        <r>
          <rPr>
            <sz val="9"/>
            <color indexed="81"/>
            <rFont val="Tahoma"/>
            <family val="2"/>
          </rPr>
          <t xml:space="preserve">
125</t>
        </r>
      </text>
    </comment>
    <comment ref="Z100" authorId="0" shapeId="0" xr:uid="{DCAE2424-6F7B-4E92-B291-E463325C7245}">
      <text>
        <r>
          <rPr>
            <b/>
            <sz val="9"/>
            <color indexed="81"/>
            <rFont val="Tahoma"/>
            <family val="2"/>
          </rPr>
          <t>kunalgoel:</t>
        </r>
        <r>
          <rPr>
            <sz val="9"/>
            <color indexed="81"/>
            <rFont val="Tahoma"/>
            <family val="2"/>
          </rPr>
          <t xml:space="preserve">
for time vds&gt;5.6</t>
        </r>
      </text>
    </comment>
  </commentList>
</comments>
</file>

<file path=xl/sharedStrings.xml><?xml version="1.0" encoding="utf-8"?>
<sst xmlns="http://schemas.openxmlformats.org/spreadsheetml/2006/main" count="349" uniqueCount="238">
  <si>
    <t>Parameter</t>
  </si>
  <si>
    <t>Description</t>
  </si>
  <si>
    <t xml:space="preserve">Value </t>
  </si>
  <si>
    <t xml:space="preserve"> Units</t>
  </si>
  <si>
    <t>A</t>
  </si>
  <si>
    <t>ms</t>
  </si>
  <si>
    <t>V</t>
  </si>
  <si>
    <t>uA</t>
  </si>
  <si>
    <t>nF</t>
  </si>
  <si>
    <t>Cout</t>
  </si>
  <si>
    <t>Load Capacitance</t>
  </si>
  <si>
    <t>uF</t>
  </si>
  <si>
    <t>Imax</t>
  </si>
  <si>
    <t>Maximum continuous load current (magnitude)</t>
  </si>
  <si>
    <t>kOhm</t>
  </si>
  <si>
    <t>Parameters internal to Device</t>
  </si>
  <si>
    <t>ID(max)</t>
  </si>
  <si>
    <t>FET drain-source current rating (maximum)</t>
  </si>
  <si>
    <t>mOhm</t>
  </si>
  <si>
    <t>Tj(max)</t>
  </si>
  <si>
    <t>W</t>
  </si>
  <si>
    <t>Deice maximum junction temperature</t>
  </si>
  <si>
    <t>Junction to ambient thermal resistance</t>
  </si>
  <si>
    <t>Thermal Parameters</t>
  </si>
  <si>
    <t>Internal FET Parameters</t>
  </si>
  <si>
    <t>Vdrop</t>
  </si>
  <si>
    <t>mV</t>
  </si>
  <si>
    <t>Maximum voltage drop across device @ 25 degC</t>
  </si>
  <si>
    <t xml:space="preserve">Steady state power dissipation with Max current @ 25degC </t>
  </si>
  <si>
    <t>mW</t>
  </si>
  <si>
    <t>Constants Cells</t>
  </si>
  <si>
    <t>Input/SelectCells</t>
  </si>
  <si>
    <t>Calculation Cells</t>
  </si>
  <si>
    <t>Steady state Voltage drop &amp; Power dissipation</t>
  </si>
  <si>
    <t>Total Power dissipation at Start-up</t>
  </si>
  <si>
    <t>Rlstart</t>
  </si>
  <si>
    <t>Ohm</t>
  </si>
  <si>
    <t>Pd_Rlstart</t>
  </si>
  <si>
    <t>Total power dissipation at start-up</t>
  </si>
  <si>
    <t>Pd_startup</t>
  </si>
  <si>
    <t>Internal References</t>
  </si>
  <si>
    <t>R2</t>
  </si>
  <si>
    <t>Select the closest possible value as R2_cal</t>
  </si>
  <si>
    <t>pF</t>
  </si>
  <si>
    <t>Tchg_req</t>
  </si>
  <si>
    <t>The charging time required</t>
  </si>
  <si>
    <t>Icharge_req</t>
  </si>
  <si>
    <t>Icharge</t>
  </si>
  <si>
    <t>Power dissipation due to load cap at start-up</t>
  </si>
  <si>
    <t>Power dissipation due to load resistance at start-up</t>
  </si>
  <si>
    <t>Tolerance</t>
  </si>
  <si>
    <t>Standard EIA Decade Resistor Values</t>
  </si>
  <si>
    <t>0.5%, 0.25%, 0.1%</t>
  </si>
  <si>
    <t>E6</t>
  </si>
  <si>
    <t>E12</t>
  </si>
  <si>
    <t>E24</t>
  </si>
  <si>
    <t>E48</t>
  </si>
  <si>
    <t>E96</t>
  </si>
  <si>
    <t>E192</t>
  </si>
  <si>
    <t>End Values Required for Processing</t>
  </si>
  <si>
    <t>µF</t>
  </si>
  <si>
    <t>Standard Capacitor Values</t>
  </si>
  <si>
    <t>mF</t>
  </si>
  <si>
    <t>R2_cal</t>
  </si>
  <si>
    <r>
      <t></t>
    </r>
    <r>
      <rPr>
        <sz val="11"/>
        <color theme="1"/>
        <rFont val="Calibri"/>
        <family val="2"/>
        <scheme val="minor"/>
      </rPr>
      <t>C</t>
    </r>
  </si>
  <si>
    <r>
      <t></t>
    </r>
    <r>
      <rPr>
        <sz val="11"/>
        <color theme="1"/>
        <rFont val="Calibri"/>
        <family val="2"/>
        <scheme val="minor"/>
      </rPr>
      <t>C/W</t>
    </r>
  </si>
  <si>
    <r>
      <t>R</t>
    </r>
    <r>
      <rPr>
        <sz val="10"/>
        <rFont val="Symbol"/>
        <family val="1"/>
        <charset val="2"/>
      </rPr>
      <t></t>
    </r>
    <r>
      <rPr>
        <sz val="11"/>
        <color theme="1"/>
        <rFont val="Calibri"/>
        <family val="2"/>
        <scheme val="minor"/>
      </rPr>
      <t>JA</t>
    </r>
  </si>
  <si>
    <t>UVref</t>
  </si>
  <si>
    <t>Calculated, but can be over-ridden by user</t>
  </si>
  <si>
    <t>Icharge_fastest</t>
  </si>
  <si>
    <t>Charging (inrush) current desired in the system</t>
  </si>
  <si>
    <t>Pdiss_Imax</t>
  </si>
  <si>
    <t>VIN (max)</t>
  </si>
  <si>
    <t>calculated value of capacitor at dVdT pin for required Tcharge</t>
  </si>
  <si>
    <t>calculated value of capacitor at dVdT pin for required Icharge</t>
  </si>
  <si>
    <t>Cext_dvdt_cal1</t>
  </si>
  <si>
    <t>Cext_dvdt_cal2</t>
  </si>
  <si>
    <t>SELECT A CAPACITOR WITH THE CLOSEST POSSIBLE VALUE to max(Cext_dvdt_cal1, Cext_dvdt_cal2)</t>
  </si>
  <si>
    <t>CdVdT_ext</t>
  </si>
  <si>
    <t>Release UVLO (VIN Rising)</t>
  </si>
  <si>
    <t>Charging Current as per dVdT setting</t>
  </si>
  <si>
    <t>Pd_Cout_startup</t>
  </si>
  <si>
    <t>Release OVLO (VIN Falling)</t>
  </si>
  <si>
    <t>OVref</t>
  </si>
  <si>
    <t>OV Cutoff (VIN Rising)</t>
  </si>
  <si>
    <t>Current monitor gain</t>
  </si>
  <si>
    <t>uA/A</t>
  </si>
  <si>
    <t>GainIMON</t>
  </si>
  <si>
    <t>Calculations for SoftStart control (external cap on dVdt pin)</t>
  </si>
  <si>
    <t>I_dVdt</t>
  </si>
  <si>
    <t>when no external capacitor  is connected (max. slew rate)</t>
  </si>
  <si>
    <t>Tchg_fastest</t>
  </si>
  <si>
    <t>Error Cells, Must be Fixed</t>
  </si>
  <si>
    <r>
      <t>V</t>
    </r>
    <r>
      <rPr>
        <vertAlign val="subscript"/>
        <sz val="11"/>
        <color theme="1"/>
        <rFont val="Calibri"/>
        <family val="2"/>
        <scheme val="minor"/>
      </rPr>
      <t>UVP</t>
    </r>
  </si>
  <si>
    <t>Internal Undervoltage Protection Threshold (VIN Rising)</t>
  </si>
  <si>
    <t>R1: Pullup at EN/OVLO Pin</t>
  </si>
  <si>
    <t>Calculated value of Resistor at EN/OVLO pin</t>
  </si>
  <si>
    <t>Internal Overvoltage reference (Rising)</t>
  </si>
  <si>
    <t>Internal Undervoltage reference (Falling)</t>
  </si>
  <si>
    <t>UV_final_rising</t>
  </si>
  <si>
    <t>UV_final_falling</t>
  </si>
  <si>
    <t>Undervoltage Threshold (VIN Falling)</t>
  </si>
  <si>
    <t>Maximum Operating input voltage (magnitude)</t>
  </si>
  <si>
    <t>OVLO Set Point</t>
  </si>
  <si>
    <t>Desired Over Voltage Lockout Set Point</t>
  </si>
  <si>
    <t>Desired Undervoltage Threshold (VIN Rising)</t>
  </si>
  <si>
    <t>R2+R3</t>
  </si>
  <si>
    <t>R3_cal</t>
  </si>
  <si>
    <t>R3</t>
  </si>
  <si>
    <t>Select the closest possible value as R3_cal</t>
  </si>
  <si>
    <t>Undervoltage Threshold (VIN Rising)</t>
  </si>
  <si>
    <t>OV_final_rising</t>
  </si>
  <si>
    <t>OV_final_falling</t>
  </si>
  <si>
    <t>Overvoltage Threshold (VIN Rising)</t>
  </si>
  <si>
    <t>Overvoltage Threshold (VIN Falling)</t>
  </si>
  <si>
    <t>I_R123</t>
  </si>
  <si>
    <t>Current in R1, R2 and R3 Branch</t>
  </si>
  <si>
    <r>
      <t>T</t>
    </r>
    <r>
      <rPr>
        <vertAlign val="subscript"/>
        <sz val="11"/>
        <color theme="1"/>
        <rFont val="Calibri"/>
        <family val="2"/>
        <scheme val="minor"/>
      </rPr>
      <t>A, MAX</t>
    </r>
  </si>
  <si>
    <t>Maximum Operating Ambient temperature</t>
  </si>
  <si>
    <r>
      <rPr>
        <sz val="11"/>
        <color theme="1"/>
        <rFont val="Calibri"/>
        <family val="2"/>
      </rPr>
      <t>°</t>
    </r>
    <r>
      <rPr>
        <sz val="11"/>
        <color theme="1"/>
        <rFont val="Calibri"/>
        <family val="2"/>
        <scheme val="minor"/>
      </rPr>
      <t>C</t>
    </r>
  </si>
  <si>
    <t>Power Fail (VIN Falling)</t>
  </si>
  <si>
    <t>Recommended Value</t>
  </si>
  <si>
    <t>UVLO Set Point</t>
  </si>
  <si>
    <t>The external capacitor connecetd across dVdT pin (OPEN, or &gt;=1nF)</t>
  </si>
  <si>
    <t>Load at startup</t>
  </si>
  <si>
    <t>Desired PG threshold</t>
  </si>
  <si>
    <t>Power good voltage threshold</t>
  </si>
  <si>
    <t>R4: Pullup at PGTH pin</t>
  </si>
  <si>
    <t>R5_cal</t>
  </si>
  <si>
    <t>Calculated value of Resistor at PGTH pin</t>
  </si>
  <si>
    <t>PGTH</t>
  </si>
  <si>
    <t>Internal Power good reference(Rising)</t>
  </si>
  <si>
    <t>v</t>
  </si>
  <si>
    <t>R5</t>
  </si>
  <si>
    <t>PG_final_rising</t>
  </si>
  <si>
    <t>PG_final_falling</t>
  </si>
  <si>
    <t>I_R45</t>
  </si>
  <si>
    <t>Current in R4, R5 Branch</t>
  </si>
  <si>
    <t>Power Good Threshold (Falling)</t>
  </si>
  <si>
    <t>Power Good Threshold (Rising)</t>
  </si>
  <si>
    <t>Select a value &gt; 100k to keep I_R45 low</t>
  </si>
  <si>
    <t>Internal charging current on dVdt</t>
  </si>
  <si>
    <t>mA</t>
  </si>
  <si>
    <t>Temperature(Degree C</t>
  </si>
  <si>
    <t>VDS</t>
  </si>
  <si>
    <t>IDS</t>
  </si>
  <si>
    <t>Time(us)</t>
  </si>
  <si>
    <t>TSD Time(in seconds)</t>
  </si>
  <si>
    <t>TSD Time (in ms)</t>
  </si>
  <si>
    <t>Power(W)</t>
  </si>
  <si>
    <t>Tchg_dvdt</t>
  </si>
  <si>
    <t>charge time set</t>
  </si>
  <si>
    <t>nf</t>
  </si>
  <si>
    <t>Select the closest possible value as R5_cal</t>
  </si>
  <si>
    <t>Output voltage at which startup load will start drawing current</t>
  </si>
  <si>
    <t>Load turn on voltage</t>
  </si>
  <si>
    <t>Rds(on)(typ)</t>
  </si>
  <si>
    <t xml:space="preserve">FET Rds(on) for –40°C ≤ TJ ≤ 125°C </t>
  </si>
  <si>
    <t>VIN(Max)</t>
  </si>
  <si>
    <t>Maximum input voltage</t>
  </si>
  <si>
    <t>TSD Time(in milliseconds)</t>
  </si>
  <si>
    <t>Temperature(Degree C)</t>
  </si>
  <si>
    <t xml:space="preserve"> Value &gt; 350K recommended</t>
  </si>
  <si>
    <t>actual total energy for time tdvdt</t>
  </si>
  <si>
    <t>time to tsd*power</t>
  </si>
  <si>
    <t>SELECT THE VALUE OF RESISTOR AS CLOSEST AVAILABLE VALUE OF R5</t>
  </si>
  <si>
    <t>SELECT THE VALUE OF RESISTORS AS CLOSEST AVAILABLE VALUE OF R2 &amp; R3</t>
  </si>
  <si>
    <t>actual energy for time vds&gt;5.6</t>
  </si>
  <si>
    <t>For CdVdt &gt; 10 nF, it's recommended to add a 100-Ω resistor in series with the capacitor on the dVdt pin</t>
  </si>
  <si>
    <t xml:space="preserve">                                                                                          Will the system have glitch-free startup?
</t>
  </si>
  <si>
    <t>Table - 1: Device Comparison Table</t>
  </si>
  <si>
    <t>Part number</t>
  </si>
  <si>
    <t>Overvoltage Response</t>
  </si>
  <si>
    <t>Response to Thermal Shutdown (TSD)</t>
  </si>
  <si>
    <t>Latch-off</t>
  </si>
  <si>
    <t>Adjustable OVLO</t>
  </si>
  <si>
    <t>Overcurrent response</t>
  </si>
  <si>
    <t>Active Current Limit</t>
  </si>
  <si>
    <t>Auto-Retry</t>
  </si>
  <si>
    <t>Select Device</t>
  </si>
  <si>
    <t>VIN (max) Selected</t>
  </si>
  <si>
    <t>Maximum Operating input voltage selected from D6 and D7</t>
  </si>
  <si>
    <r>
      <t>V</t>
    </r>
    <r>
      <rPr>
        <vertAlign val="subscript"/>
        <sz val="11"/>
        <color theme="1"/>
        <rFont val="Calibri"/>
        <family val="2"/>
        <scheme val="minor"/>
      </rPr>
      <t>CLAMP</t>
    </r>
  </si>
  <si>
    <t xml:space="preserve">Desired Over Voltage Clamp </t>
  </si>
  <si>
    <t>Ilimit</t>
  </si>
  <si>
    <t>Current Limit, 10.5% higher than maximum continuous load current</t>
  </si>
  <si>
    <t>Load transient blanking interval</t>
  </si>
  <si>
    <t>tITIMER</t>
  </si>
  <si>
    <t>Setting Overcurrent Blanking Interval (tITIMER)</t>
  </si>
  <si>
    <t>Calculated Capacitor value at ITIMER pin</t>
  </si>
  <si>
    <t>CITIMER_cal</t>
  </si>
  <si>
    <t>CITIMER_sel</t>
  </si>
  <si>
    <t>tITIMER_final</t>
  </si>
  <si>
    <t>Final Load transient blanking interval</t>
  </si>
  <si>
    <r>
      <t>V</t>
    </r>
    <r>
      <rPr>
        <vertAlign val="subscript"/>
        <sz val="11"/>
        <color theme="1"/>
        <rFont val="Calibri"/>
        <family val="2"/>
        <scheme val="minor"/>
      </rPr>
      <t>OVC</t>
    </r>
  </si>
  <si>
    <t>Over Voltage Clamp</t>
  </si>
  <si>
    <t>R_OVCSEL</t>
  </si>
  <si>
    <t>Calculated value of Resistor at OVCSEL pin</t>
  </si>
  <si>
    <t>Short</t>
  </si>
  <si>
    <t>Open</t>
  </si>
  <si>
    <r>
      <t xml:space="preserve">OVC set point calculations </t>
    </r>
    <r>
      <rPr>
        <b/>
        <i/>
        <sz val="16"/>
        <rFont val="Calibri"/>
        <family val="2"/>
        <scheme val="minor"/>
      </rPr>
      <t>(TPS259472x)</t>
    </r>
  </si>
  <si>
    <r>
      <t xml:space="preserve">UVLO set point calculations </t>
    </r>
    <r>
      <rPr>
        <b/>
        <i/>
        <sz val="16"/>
        <rFont val="Calibri"/>
        <family val="2"/>
        <scheme val="minor"/>
      </rPr>
      <t>(TPS259472x)</t>
    </r>
  </si>
  <si>
    <t>I_R12</t>
  </si>
  <si>
    <t>R1: Pullup at EN/UVLO Pin</t>
  </si>
  <si>
    <t>Calculated value of Resistor at EN/UVLO pin</t>
  </si>
  <si>
    <t>SELECT THE VALUE OF RESISTORS AS CLOSEST AVAILABLE VALUE OF R2</t>
  </si>
  <si>
    <t>Current in R1, R2 Branch</t>
  </si>
  <si>
    <t>Value &gt; 350k recommended</t>
  </si>
  <si>
    <t>Calculations for Ilimit (resistor on ILM Pin)</t>
  </si>
  <si>
    <t>RILM_Cal</t>
  </si>
  <si>
    <t>Calculated current limit resistor</t>
  </si>
  <si>
    <t>SELECT A ILIMIT RESISTOR WITH THE CLOSEST AVAILABLE VALUE OF Rilm_Cal</t>
  </si>
  <si>
    <t>RILM</t>
  </si>
  <si>
    <r>
      <t>Select the closest available value of R</t>
    </r>
    <r>
      <rPr>
        <sz val="11"/>
        <color theme="1"/>
        <rFont val="Calibri"/>
        <family val="2"/>
        <scheme val="minor"/>
      </rPr>
      <t>LM_cal</t>
    </r>
  </si>
  <si>
    <t>Ilimit_final</t>
  </si>
  <si>
    <t>Final current Limit Set Point</t>
  </si>
  <si>
    <r>
      <t xml:space="preserve">Charging current when charging at fastest possible rate
</t>
    </r>
    <r>
      <rPr>
        <sz val="11"/>
        <color rgb="FFFF0000"/>
        <rFont val="Calibri"/>
        <family val="2"/>
        <scheme val="minor"/>
      </rPr>
      <t>If this current is &lt; Ilimit, no capacitor is required at dVdT pin</t>
    </r>
  </si>
  <si>
    <t>Does Device Enter Current Limit during start-up?</t>
  </si>
  <si>
    <t>Power Fail 
(VIN Falling)</t>
  </si>
  <si>
    <t>OV Clamp
(VIN Rising)</t>
  </si>
  <si>
    <t>Inrush Charging 
Current</t>
  </si>
  <si>
    <t>Overload Curr
Limit</t>
  </si>
  <si>
    <t>Isc</t>
  </si>
  <si>
    <t>Scalable fast  trip threshold</t>
  </si>
  <si>
    <t>Select  Closest value as CITIMER_cal</t>
  </si>
  <si>
    <t>TPS259460A</t>
  </si>
  <si>
    <t>TPS259460L</t>
  </si>
  <si>
    <t xml:space="preserve">UVLO, OVLO set point calculations </t>
  </si>
  <si>
    <t>PGset point calculations</t>
  </si>
  <si>
    <t>PG/SPLYGD</t>
  </si>
  <si>
    <t>PGTH/FLT</t>
  </si>
  <si>
    <t>TPS259461L</t>
  </si>
  <si>
    <t>TPS259461A</t>
  </si>
  <si>
    <t>PG</t>
  </si>
  <si>
    <t>SPLYGD</t>
  </si>
  <si>
    <t>FLT</t>
  </si>
  <si>
    <t>Select device based on table on top right</t>
  </si>
  <si>
    <t>TPS25946x Design Calculation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</si>
</sst>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
    <numFmt numFmtId="167" formatCode="0.000"/>
  </numFmts>
  <fonts count="39" x14ac:knownFonts="1">
    <font>
      <sz val="11"/>
      <color theme="1"/>
      <name val="Calibri"/>
      <family val="2"/>
      <scheme val="minor"/>
    </font>
    <font>
      <b/>
      <sz val="11"/>
      <color theme="1"/>
      <name val="Calibri"/>
      <family val="2"/>
      <scheme val="minor"/>
    </font>
    <font>
      <sz val="12"/>
      <color theme="1"/>
      <name val="Calibri"/>
      <family val="2"/>
      <scheme val="minor"/>
    </font>
    <font>
      <sz val="10"/>
      <name val="Symbol"/>
      <family val="1"/>
      <charset val="2"/>
    </font>
    <font>
      <sz val="10"/>
      <name val="Arial"/>
      <family val="2"/>
    </font>
    <font>
      <sz val="10"/>
      <color theme="1"/>
      <name val="Calibri"/>
      <family val="2"/>
      <scheme val="minor"/>
    </font>
    <font>
      <sz val="9"/>
      <color indexed="81"/>
      <name val="Tahoma"/>
      <family val="2"/>
    </font>
    <font>
      <sz val="11"/>
      <color theme="1"/>
      <name val="Calibri"/>
      <family val="2"/>
      <scheme val="minor"/>
    </font>
    <font>
      <sz val="11"/>
      <color theme="0"/>
      <name val="Calibri"/>
      <family val="2"/>
      <scheme val="minor"/>
    </font>
    <font>
      <b/>
      <sz val="16"/>
      <color theme="1"/>
      <name val="Calibri"/>
      <family val="2"/>
      <scheme val="minor"/>
    </font>
    <font>
      <b/>
      <sz val="8"/>
      <color rgb="FF333333"/>
      <name val="Arial"/>
      <family val="2"/>
    </font>
    <font>
      <sz val="9"/>
      <color rgb="FF000000"/>
      <name val="Verdana"/>
      <family val="2"/>
    </font>
    <font>
      <u/>
      <sz val="11"/>
      <color theme="10"/>
      <name val="Calibri"/>
      <family val="2"/>
      <scheme val="minor"/>
    </font>
    <font>
      <u/>
      <sz val="20"/>
      <color theme="10"/>
      <name val="Calibri"/>
      <family val="2"/>
      <scheme val="minor"/>
    </font>
    <font>
      <sz val="12"/>
      <name val="Calibri"/>
      <family val="2"/>
      <scheme val="minor"/>
    </font>
    <font>
      <i/>
      <sz val="11"/>
      <name val="Calibri"/>
      <family val="2"/>
      <scheme val="minor"/>
    </font>
    <font>
      <sz val="11"/>
      <name val="Calibri"/>
      <family val="2"/>
      <scheme val="minor"/>
    </font>
    <font>
      <b/>
      <sz val="14"/>
      <color theme="1"/>
      <name val="Calibri"/>
      <family val="2"/>
      <scheme val="minor"/>
    </font>
    <font>
      <b/>
      <sz val="14"/>
      <name val="Calibri"/>
      <family val="2"/>
      <scheme val="minor"/>
    </font>
    <font>
      <sz val="8"/>
      <color theme="1"/>
      <name val="Calibri"/>
      <family val="2"/>
      <scheme val="minor"/>
    </font>
    <font>
      <i/>
      <sz val="16"/>
      <name val="Calibri"/>
      <family val="2"/>
      <scheme val="minor"/>
    </font>
    <font>
      <i/>
      <sz val="16"/>
      <color theme="1"/>
      <name val="Calibri"/>
      <family val="2"/>
      <scheme val="minor"/>
    </font>
    <font>
      <b/>
      <sz val="9"/>
      <color indexed="81"/>
      <name val="Tahoma"/>
      <family val="2"/>
    </font>
    <font>
      <vertAlign val="subscript"/>
      <sz val="11"/>
      <color theme="1"/>
      <name val="Calibri"/>
      <family val="2"/>
      <scheme val="minor"/>
    </font>
    <font>
      <sz val="11"/>
      <color theme="1"/>
      <name val="Calibri"/>
      <family val="2"/>
    </font>
    <font>
      <sz val="11"/>
      <color rgb="FF006100"/>
      <name val="Calibri"/>
      <family val="2"/>
      <scheme val="minor"/>
    </font>
    <font>
      <sz val="11"/>
      <color rgb="FF9C0006"/>
      <name val="Calibri"/>
      <family val="2"/>
      <scheme val="minor"/>
    </font>
    <font>
      <b/>
      <sz val="11"/>
      <color theme="0"/>
      <name val="Calibri"/>
      <family val="2"/>
      <scheme val="minor"/>
    </font>
    <font>
      <b/>
      <sz val="16"/>
      <color rgb="FF0000FF"/>
      <name val="Arial"/>
      <family val="2"/>
    </font>
    <font>
      <b/>
      <sz val="20"/>
      <name val="Calibri"/>
      <family val="2"/>
      <scheme val="minor"/>
    </font>
    <font>
      <b/>
      <sz val="11"/>
      <name val="Calibri"/>
      <family val="2"/>
      <scheme val="minor"/>
    </font>
    <font>
      <sz val="14"/>
      <color theme="1"/>
      <name val="Calibri"/>
      <family val="2"/>
      <scheme val="minor"/>
    </font>
    <font>
      <b/>
      <sz val="14"/>
      <color theme="0"/>
      <name val="Calibri"/>
      <family val="2"/>
      <scheme val="minor"/>
    </font>
    <font>
      <sz val="12"/>
      <color theme="0"/>
      <name val="Calibri"/>
      <family val="2"/>
      <scheme val="minor"/>
    </font>
    <font>
      <sz val="14"/>
      <name val="Calibri"/>
      <family val="2"/>
      <scheme val="minor"/>
    </font>
    <font>
      <b/>
      <sz val="18"/>
      <color theme="1"/>
      <name val="Calibri"/>
      <family val="2"/>
      <scheme val="minor"/>
    </font>
    <font>
      <sz val="11"/>
      <color rgb="FFFF0000"/>
      <name val="Calibri"/>
      <family val="2"/>
      <scheme val="minor"/>
    </font>
    <font>
      <b/>
      <sz val="16"/>
      <name val="Calibri"/>
      <family val="2"/>
      <scheme val="minor"/>
    </font>
    <font>
      <b/>
      <i/>
      <sz val="16"/>
      <name val="Calibri"/>
      <family val="2"/>
      <scheme val="minor"/>
    </font>
  </fonts>
  <fills count="33">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00FFFF"/>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indexed="15"/>
        <bgColor indexed="64"/>
      </patternFill>
    </fill>
    <fill>
      <patternFill patternType="solid">
        <fgColor rgb="FFFFFFCC"/>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gradientFill type="path">
        <stop position="0">
          <color rgb="FF00FFFF"/>
        </stop>
        <stop position="1">
          <color rgb="FFFFFF00"/>
        </stop>
      </gradientFill>
    </fill>
    <fill>
      <patternFill patternType="solid">
        <fgColor rgb="FFFFFF9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theme="4" tint="0.79998168889431442"/>
      </patternFill>
    </fill>
    <fill>
      <patternFill patternType="solid">
        <fgColor theme="0"/>
        <bgColor indexed="64"/>
      </patternFill>
    </fill>
    <fill>
      <patternFill patternType="solid">
        <fgColor theme="0"/>
      </patternFill>
    </fill>
    <fill>
      <patternFill patternType="solid">
        <fgColor theme="0"/>
        <bgColor theme="4"/>
      </patternFill>
    </fill>
    <fill>
      <patternFill patternType="solid">
        <fgColor theme="0"/>
        <bgColor auto="1"/>
      </patternFill>
    </fill>
    <fill>
      <patternFill patternType="solid">
        <fgColor rgb="FFDAE7F6"/>
        <bgColor indexed="64"/>
      </patternFill>
    </fill>
    <fill>
      <patternFill patternType="solid">
        <fgColor rgb="FF92D050"/>
        <bgColor indexed="64"/>
      </patternFill>
    </fill>
    <fill>
      <patternFill patternType="solid">
        <fgColor rgb="FFFFC0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FF99"/>
        <bgColor auto="1"/>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s>
  <cellStyleXfs count="5">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5" fillId="19" borderId="0" applyNumberFormat="0" applyBorder="0" applyAlignment="0" applyProtection="0"/>
    <xf numFmtId="0" fontId="26" fillId="20" borderId="0" applyNumberFormat="0" applyBorder="0" applyAlignment="0" applyProtection="0"/>
  </cellStyleXfs>
  <cellXfs count="285">
    <xf numFmtId="0" fontId="0" fillId="0" borderId="0" xfId="0"/>
    <xf numFmtId="2" fontId="0" fillId="0" borderId="0" xfId="0" applyNumberFormat="1"/>
    <xf numFmtId="9"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2" borderId="1" xfId="0" applyFill="1" applyBorder="1" applyAlignment="1">
      <alignment horizontal="center" vertical="center"/>
    </xf>
    <xf numFmtId="1" fontId="0" fillId="9" borderId="1" xfId="0" applyNumberFormat="1" applyFill="1" applyBorder="1" applyAlignment="1">
      <alignment horizontal="center"/>
    </xf>
    <xf numFmtId="1" fontId="0" fillId="10" borderId="1" xfId="0" applyNumberFormat="1" applyFill="1" applyBorder="1" applyAlignment="1">
      <alignment horizontal="center"/>
    </xf>
    <xf numFmtId="1" fontId="0" fillId="11" borderId="1" xfId="0" applyNumberFormat="1" applyFill="1" applyBorder="1" applyAlignment="1">
      <alignment horizontal="center"/>
    </xf>
    <xf numFmtId="1" fontId="0" fillId="13" borderId="1" xfId="0" applyNumberFormat="1" applyFill="1" applyBorder="1" applyAlignment="1">
      <alignment horizontal="center"/>
    </xf>
    <xf numFmtId="1" fontId="0" fillId="12" borderId="1" xfId="0" applyNumberFormat="1" applyFill="1" applyBorder="1" applyAlignment="1">
      <alignment horizontal="center"/>
    </xf>
    <xf numFmtId="1" fontId="0" fillId="2" borderId="1" xfId="0" applyNumberFormat="1" applyFill="1" applyBorder="1" applyAlignment="1">
      <alignment horizontal="center" vertical="center"/>
    </xf>
    <xf numFmtId="0" fontId="1" fillId="0" borderId="0" xfId="0" applyFont="1"/>
    <xf numFmtId="0" fontId="10" fillId="8" borderId="2" xfId="0" applyFont="1" applyFill="1" applyBorder="1" applyAlignment="1">
      <alignment horizontal="center" vertical="center" wrapText="1"/>
    </xf>
    <xf numFmtId="164" fontId="11" fillId="0" borderId="2" xfId="0" applyNumberFormat="1" applyFont="1" applyBorder="1" applyAlignment="1">
      <alignment vertical="center" wrapText="1"/>
    </xf>
    <xf numFmtId="0" fontId="13" fillId="0" borderId="0" xfId="2" applyFont="1" applyAlignment="1"/>
    <xf numFmtId="164" fontId="0" fillId="0" borderId="0" xfId="0" applyNumberFormat="1"/>
    <xf numFmtId="0" fontId="0" fillId="0" borderId="0" xfId="0" applyAlignment="1">
      <alignment vertical="center"/>
    </xf>
    <xf numFmtId="2" fontId="0" fillId="0" borderId="0" xfId="0" applyNumberFormat="1" applyAlignment="1">
      <alignment horizontal="right" vertical="center" indent="1"/>
    </xf>
    <xf numFmtId="0" fontId="0" fillId="0" borderId="0" xfId="0" applyAlignment="1">
      <alignment horizontal="center" vertical="center"/>
    </xf>
    <xf numFmtId="2" fontId="4" fillId="7" borderId="1" xfId="0" applyNumberFormat="1" applyFont="1" applyFill="1" applyBorder="1" applyAlignment="1">
      <alignment vertical="center"/>
    </xf>
    <xf numFmtId="0" fontId="0" fillId="14" borderId="1" xfId="0" applyFill="1" applyBorder="1" applyAlignment="1">
      <alignment vertical="center"/>
    </xf>
    <xf numFmtId="0" fontId="16" fillId="14" borderId="1" xfId="0" applyFont="1" applyFill="1" applyBorder="1" applyAlignment="1">
      <alignment horizontal="left" vertical="center"/>
    </xf>
    <xf numFmtId="0" fontId="4" fillId="0" borderId="0" xfId="0" applyFont="1" applyAlignment="1">
      <alignment vertical="center"/>
    </xf>
    <xf numFmtId="0" fontId="0" fillId="0" borderId="0" xfId="0" applyAlignment="1">
      <alignment horizontal="left" vertical="center"/>
    </xf>
    <xf numFmtId="2" fontId="0" fillId="0" borderId="0" xfId="0" applyNumberFormat="1" applyAlignment="1">
      <alignment vertical="center"/>
    </xf>
    <xf numFmtId="0" fontId="3" fillId="14" borderId="1" xfId="0" applyFont="1" applyFill="1" applyBorder="1" applyAlignment="1">
      <alignment vertical="center"/>
    </xf>
    <xf numFmtId="165" fontId="7" fillId="14" borderId="3" xfId="1" applyNumberFormat="1" applyFont="1" applyFill="1" applyBorder="1" applyAlignment="1" applyProtection="1">
      <alignment horizontal="center" vertical="center"/>
    </xf>
    <xf numFmtId="0" fontId="16" fillId="3" borderId="1" xfId="0" applyFont="1" applyFill="1" applyBorder="1" applyAlignment="1">
      <alignment horizontal="center" vertical="center"/>
    </xf>
    <xf numFmtId="2" fontId="16" fillId="3" borderId="1" xfId="0" applyNumberFormat="1" applyFont="1" applyFill="1" applyBorder="1" applyAlignment="1">
      <alignment horizontal="center" vertical="center"/>
    </xf>
    <xf numFmtId="0" fontId="21" fillId="0" borderId="0" xfId="0" applyFont="1" applyAlignment="1">
      <alignment vertical="center"/>
    </xf>
    <xf numFmtId="0" fontId="0" fillId="16" borderId="1" xfId="0" applyFill="1" applyBorder="1" applyAlignment="1">
      <alignment vertical="center" wrapText="1"/>
    </xf>
    <xf numFmtId="0" fontId="0" fillId="0" borderId="0" xfId="0" applyAlignment="1">
      <alignment vertical="center" wrapText="1"/>
    </xf>
    <xf numFmtId="0" fontId="0" fillId="15" borderId="1" xfId="0" applyFill="1" applyBorder="1" applyAlignment="1">
      <alignment vertical="center" wrapText="1"/>
    </xf>
    <xf numFmtId="0" fontId="4" fillId="0" borderId="0" xfId="0" applyFont="1" applyAlignment="1">
      <alignment vertical="center" wrapText="1"/>
    </xf>
    <xf numFmtId="0" fontId="16" fillId="3" borderId="1" xfId="0" applyFont="1" applyFill="1" applyBorder="1" applyAlignment="1">
      <alignment horizontal="center" vertical="center" wrapText="1"/>
    </xf>
    <xf numFmtId="2" fontId="0" fillId="0" borderId="1" xfId="0" applyNumberFormat="1" applyBorder="1" applyAlignment="1">
      <alignment horizontal="center"/>
    </xf>
    <xf numFmtId="2" fontId="4" fillId="22" borderId="0" xfId="0" applyNumberFormat="1" applyFont="1" applyFill="1" applyAlignment="1">
      <alignment vertical="center"/>
    </xf>
    <xf numFmtId="0" fontId="26" fillId="23" borderId="0" xfId="4" applyFill="1" applyBorder="1" applyAlignment="1" applyProtection="1">
      <alignment vertical="center"/>
    </xf>
    <xf numFmtId="0" fontId="0" fillId="25" borderId="0" xfId="0" applyFill="1" applyAlignment="1">
      <alignment vertical="center" wrapText="1"/>
    </xf>
    <xf numFmtId="2" fontId="0" fillId="22" borderId="0" xfId="0" applyNumberFormat="1" applyFill="1" applyAlignment="1">
      <alignment horizontal="right" vertical="center" indent="1"/>
    </xf>
    <xf numFmtId="0" fontId="0" fillId="22" borderId="0" xfId="0" applyFill="1" applyAlignment="1">
      <alignment vertical="center"/>
    </xf>
    <xf numFmtId="0" fontId="0" fillId="22" borderId="0" xfId="0" applyFill="1" applyAlignment="1">
      <alignment horizontal="center" vertical="center"/>
    </xf>
    <xf numFmtId="0" fontId="0" fillId="14" borderId="9" xfId="0" applyFill="1" applyBorder="1" applyAlignment="1">
      <alignment horizontal="left" vertical="center"/>
    </xf>
    <xf numFmtId="165" fontId="7" fillId="14" borderId="10" xfId="1" applyNumberFormat="1" applyFont="1" applyFill="1" applyBorder="1" applyAlignment="1" applyProtection="1">
      <alignment horizontal="center" vertical="center"/>
    </xf>
    <xf numFmtId="0" fontId="26" fillId="20" borderId="1" xfId="4" applyBorder="1" applyAlignment="1" applyProtection="1">
      <alignment vertical="center"/>
    </xf>
    <xf numFmtId="0" fontId="0" fillId="0" borderId="5" xfId="0" applyBorder="1" applyAlignment="1">
      <alignment vertical="center"/>
    </xf>
    <xf numFmtId="0" fontId="0" fillId="0" borderId="1" xfId="0" applyBorder="1" applyAlignment="1">
      <alignment vertical="center" wrapText="1"/>
    </xf>
    <xf numFmtId="0" fontId="28" fillId="0" borderId="0" xfId="0" applyFont="1" applyAlignment="1">
      <alignment horizontal="left" vertical="center"/>
    </xf>
    <xf numFmtId="2" fontId="4" fillId="0" borderId="0" xfId="0" applyNumberFormat="1" applyFont="1" applyAlignment="1">
      <alignment vertical="center"/>
    </xf>
    <xf numFmtId="2" fontId="4" fillId="0" borderId="1" xfId="0" applyNumberFormat="1" applyFont="1" applyBorder="1" applyAlignment="1">
      <alignment horizontal="left" vertical="center"/>
    </xf>
    <xf numFmtId="2" fontId="4" fillId="0" borderId="1" xfId="0" applyNumberFormat="1" applyFont="1" applyBorder="1" applyAlignment="1">
      <alignment vertical="center"/>
    </xf>
    <xf numFmtId="0" fontId="26" fillId="0" borderId="1" xfId="4" applyFill="1" applyBorder="1" applyAlignment="1" applyProtection="1">
      <alignment vertical="center"/>
    </xf>
    <xf numFmtId="0" fontId="0" fillId="0" borderId="8" xfId="0" applyBorder="1" applyAlignment="1">
      <alignment vertical="center"/>
    </xf>
    <xf numFmtId="0" fontId="0" fillId="0" borderId="9" xfId="0" applyBorder="1" applyAlignment="1">
      <alignment vertical="center" wrapText="1"/>
    </xf>
    <xf numFmtId="0" fontId="0" fillId="0" borderId="6" xfId="0" applyBorder="1" applyAlignment="1">
      <alignment vertical="center" wrapText="1"/>
    </xf>
    <xf numFmtId="165" fontId="16" fillId="14" borderId="3" xfId="1" applyNumberFormat="1" applyFont="1" applyFill="1" applyBorder="1" applyAlignment="1" applyProtection="1">
      <alignment horizontal="center" vertical="center"/>
    </xf>
    <xf numFmtId="0" fontId="16" fillId="14" borderId="9" xfId="0" applyFont="1" applyFill="1" applyBorder="1" applyAlignment="1">
      <alignment horizontal="left" vertical="center"/>
    </xf>
    <xf numFmtId="165" fontId="16" fillId="14" borderId="10" xfId="1" applyNumberFormat="1" applyFont="1" applyFill="1" applyBorder="1" applyAlignment="1" applyProtection="1">
      <alignment horizontal="center" vertical="center"/>
    </xf>
    <xf numFmtId="0" fontId="30" fillId="17" borderId="13" xfId="0" applyFont="1" applyFill="1" applyBorder="1" applyAlignment="1">
      <alignment horizontal="center" vertical="center"/>
    </xf>
    <xf numFmtId="0" fontId="30" fillId="17" borderId="14" xfId="0" applyFont="1" applyFill="1" applyBorder="1" applyAlignment="1">
      <alignment horizontal="center" vertical="center" wrapText="1"/>
    </xf>
    <xf numFmtId="0" fontId="30" fillId="17" borderId="15" xfId="0" applyFont="1" applyFill="1" applyBorder="1" applyAlignment="1">
      <alignment horizontal="center" vertical="center"/>
    </xf>
    <xf numFmtId="0" fontId="16" fillId="14" borderId="6" xfId="0" applyFont="1" applyFill="1" applyBorder="1" applyAlignment="1">
      <alignment horizontal="left" vertical="center"/>
    </xf>
    <xf numFmtId="0" fontId="15" fillId="17" borderId="15" xfId="0" applyFont="1" applyFill="1" applyBorder="1" applyAlignment="1">
      <alignment horizontal="center" vertical="center" wrapText="1"/>
    </xf>
    <xf numFmtId="0" fontId="0" fillId="14" borderId="9" xfId="0" applyFill="1" applyBorder="1" applyAlignment="1">
      <alignment vertical="center"/>
    </xf>
    <xf numFmtId="0" fontId="8" fillId="5" borderId="12" xfId="0" applyFont="1" applyFill="1" applyBorder="1" applyAlignment="1">
      <alignment horizontal="center" vertical="center"/>
    </xf>
    <xf numFmtId="0" fontId="8" fillId="5" borderId="6" xfId="0" applyFont="1" applyFill="1" applyBorder="1" applyAlignment="1">
      <alignment horizontal="center" vertical="center" wrapText="1"/>
    </xf>
    <xf numFmtId="2" fontId="8" fillId="5" borderId="6" xfId="0" applyNumberFormat="1" applyFont="1" applyFill="1" applyBorder="1" applyAlignment="1">
      <alignment horizontal="right" vertical="center" indent="1"/>
    </xf>
    <xf numFmtId="0" fontId="8" fillId="5" borderId="6" xfId="0" applyFont="1" applyFill="1" applyBorder="1" applyAlignment="1">
      <alignment horizontal="left" vertical="center"/>
    </xf>
    <xf numFmtId="0" fontId="8" fillId="5" borderId="7" xfId="0" applyFont="1" applyFill="1" applyBorder="1" applyAlignment="1">
      <alignment horizontal="center" vertical="center"/>
    </xf>
    <xf numFmtId="2" fontId="29" fillId="0" borderId="0" xfId="0" applyNumberFormat="1" applyFont="1" applyAlignment="1">
      <alignment vertical="center"/>
    </xf>
    <xf numFmtId="0" fontId="0" fillId="0" borderId="5" xfId="0" applyBorder="1" applyAlignment="1">
      <alignment horizontal="left" vertical="center"/>
    </xf>
    <xf numFmtId="0" fontId="0" fillId="0" borderId="8" xfId="0" applyBorder="1" applyAlignment="1">
      <alignment horizontal="left" vertical="center"/>
    </xf>
    <xf numFmtId="0" fontId="0" fillId="0" borderId="1" xfId="0" applyBorder="1" applyAlignment="1">
      <alignment horizontal="left" vertical="center" wrapText="1"/>
    </xf>
    <xf numFmtId="0" fontId="0" fillId="0" borderId="9" xfId="0" applyBorder="1" applyAlignment="1">
      <alignment horizontal="left" vertical="center" wrapText="1"/>
    </xf>
    <xf numFmtId="0" fontId="15" fillId="14" borderId="6" xfId="0" applyFont="1" applyFill="1" applyBorder="1" applyAlignment="1">
      <alignment vertical="center" wrapText="1"/>
    </xf>
    <xf numFmtId="0" fontId="15" fillId="14" borderId="1" xfId="0" applyFont="1" applyFill="1" applyBorder="1" applyAlignment="1">
      <alignment vertical="center" wrapText="1"/>
    </xf>
    <xf numFmtId="0" fontId="15" fillId="14" borderId="7" xfId="0" applyFont="1" applyFill="1" applyBorder="1" applyAlignment="1">
      <alignment horizontal="center" vertical="center" wrapText="1"/>
    </xf>
    <xf numFmtId="0" fontId="15" fillId="14" borderId="3" xfId="0" applyFont="1" applyFill="1" applyBorder="1" applyAlignment="1">
      <alignment horizontal="center" vertical="center" wrapText="1"/>
    </xf>
    <xf numFmtId="165" fontId="0" fillId="14" borderId="3" xfId="1" applyNumberFormat="1" applyFont="1" applyFill="1" applyBorder="1" applyAlignment="1" applyProtection="1">
      <alignment horizontal="center" vertical="center"/>
    </xf>
    <xf numFmtId="2" fontId="16" fillId="14" borderId="1" xfId="0" applyNumberFormat="1" applyFont="1" applyFill="1" applyBorder="1" applyAlignment="1">
      <alignment horizontal="right" vertical="center" indent="1"/>
    </xf>
    <xf numFmtId="164" fontId="16" fillId="4" borderId="1" xfId="0" applyNumberFormat="1" applyFont="1" applyFill="1" applyBorder="1" applyAlignment="1">
      <alignment vertical="center"/>
    </xf>
    <xf numFmtId="2" fontId="16" fillId="4" borderId="1" xfId="0" applyNumberFormat="1" applyFont="1" applyFill="1" applyBorder="1" applyAlignment="1">
      <alignment vertical="center"/>
    </xf>
    <xf numFmtId="2" fontId="16" fillId="4" borderId="9" xfId="0" applyNumberFormat="1" applyFont="1" applyFill="1" applyBorder="1" applyAlignment="1">
      <alignment vertical="center"/>
    </xf>
    <xf numFmtId="165" fontId="7" fillId="6" borderId="3" xfId="1" applyNumberFormat="1" applyFont="1" applyFill="1" applyBorder="1" applyAlignment="1" applyProtection="1">
      <alignment horizontal="center" vertical="center"/>
    </xf>
    <xf numFmtId="2" fontId="4" fillId="6" borderId="1" xfId="0" applyNumberFormat="1" applyFont="1" applyFill="1" applyBorder="1" applyAlignment="1">
      <alignment horizontal="left" vertical="center"/>
    </xf>
    <xf numFmtId="2" fontId="16" fillId="6" borderId="1" xfId="0" applyNumberFormat="1" applyFont="1" applyFill="1" applyBorder="1" applyAlignment="1">
      <alignment horizontal="right" vertical="center"/>
    </xf>
    <xf numFmtId="2" fontId="16" fillId="6" borderId="6" xfId="0" applyNumberFormat="1" applyFont="1" applyFill="1" applyBorder="1" applyAlignment="1">
      <alignment vertical="center" wrapText="1"/>
    </xf>
    <xf numFmtId="2" fontId="16" fillId="6" borderId="1" xfId="0" applyNumberFormat="1" applyFont="1" applyFill="1" applyBorder="1" applyAlignment="1">
      <alignment vertical="center" wrapText="1"/>
    </xf>
    <xf numFmtId="165" fontId="14" fillId="6" borderId="3" xfId="1" applyNumberFormat="1" applyFont="1" applyFill="1" applyBorder="1" applyAlignment="1" applyProtection="1">
      <alignment horizontal="center" vertical="center"/>
    </xf>
    <xf numFmtId="165" fontId="16" fillId="6" borderId="3" xfId="1" applyNumberFormat="1" applyFont="1" applyFill="1" applyBorder="1" applyAlignment="1" applyProtection="1">
      <alignment horizontal="center" vertical="center"/>
    </xf>
    <xf numFmtId="165" fontId="7" fillId="6" borderId="1" xfId="1" applyNumberFormat="1" applyFont="1" applyFill="1" applyBorder="1" applyAlignment="1" applyProtection="1">
      <alignment horizontal="center" vertical="center"/>
    </xf>
    <xf numFmtId="165" fontId="3" fillId="6" borderId="1" xfId="1" applyNumberFormat="1" applyFont="1" applyFill="1" applyBorder="1" applyAlignment="1" applyProtection="1">
      <alignment horizontal="center" vertical="center"/>
    </xf>
    <xf numFmtId="0" fontId="0" fillId="0" borderId="1" xfId="0" applyBorder="1" applyAlignment="1">
      <alignment horizontal="left" vertical="center"/>
    </xf>
    <xf numFmtId="164" fontId="14" fillId="6" borderId="1" xfId="0" applyNumberFormat="1" applyFont="1" applyFill="1" applyBorder="1" applyAlignment="1">
      <alignment vertical="center"/>
    </xf>
    <xf numFmtId="2" fontId="14" fillId="6" borderId="1" xfId="0" applyNumberFormat="1" applyFont="1" applyFill="1" applyBorder="1" applyAlignment="1">
      <alignment vertical="center"/>
    </xf>
    <xf numFmtId="2" fontId="18" fillId="0" borderId="0" xfId="0" applyNumberFormat="1" applyFont="1" applyAlignment="1">
      <alignment vertical="center"/>
    </xf>
    <xf numFmtId="2" fontId="30" fillId="17" borderId="14" xfId="0" applyNumberFormat="1" applyFont="1" applyFill="1" applyBorder="1" applyAlignment="1">
      <alignment horizontal="center" vertical="center"/>
    </xf>
    <xf numFmtId="0" fontId="30" fillId="17" borderId="14" xfId="0" applyFont="1" applyFill="1" applyBorder="1" applyAlignment="1">
      <alignment horizontal="center" vertical="center"/>
    </xf>
    <xf numFmtId="165" fontId="7" fillId="16" borderId="3" xfId="1" applyNumberFormat="1" applyFont="1" applyFill="1" applyBorder="1" applyAlignment="1" applyProtection="1">
      <alignment horizontal="center" vertical="center"/>
      <protection locked="0"/>
    </xf>
    <xf numFmtId="2" fontId="16" fillId="16" borderId="1" xfId="0" applyNumberFormat="1" applyFont="1" applyFill="1" applyBorder="1" applyAlignment="1" applyProtection="1">
      <alignment horizontal="right" vertical="center"/>
      <protection locked="0"/>
    </xf>
    <xf numFmtId="0" fontId="27" fillId="24" borderId="0" xfId="0" applyFont="1" applyFill="1" applyAlignment="1">
      <alignment horizontal="center" wrapText="1"/>
    </xf>
    <xf numFmtId="0" fontId="1" fillId="0" borderId="0" xfId="0" applyFont="1" applyAlignment="1">
      <alignment horizontal="center" vertical="center"/>
    </xf>
    <xf numFmtId="0" fontId="0" fillId="21" borderId="0" xfId="0" applyFill="1" applyAlignment="1">
      <alignment horizontal="center"/>
    </xf>
    <xf numFmtId="0" fontId="0" fillId="22" borderId="0" xfId="0" applyFill="1" applyAlignment="1">
      <alignment horizontal="center"/>
    </xf>
    <xf numFmtId="0" fontId="25" fillId="23" borderId="0" xfId="3" applyFill="1" applyBorder="1" applyAlignment="1" applyProtection="1">
      <alignment horizontal="center"/>
    </xf>
    <xf numFmtId="0" fontId="1" fillId="22" borderId="0" xfId="0" applyFont="1" applyFill="1" applyAlignment="1">
      <alignment horizontal="center"/>
    </xf>
    <xf numFmtId="0" fontId="1" fillId="21" borderId="0" xfId="0" applyFont="1" applyFill="1" applyAlignment="1">
      <alignment horizontal="center"/>
    </xf>
    <xf numFmtId="0" fontId="0" fillId="21" borderId="0" xfId="0" applyFill="1" applyAlignment="1">
      <alignment horizontal="center" vertical="center"/>
    </xf>
    <xf numFmtId="2" fontId="0" fillId="0" borderId="1" xfId="0" applyNumberFormat="1" applyBorder="1" applyAlignment="1">
      <alignment horizontal="left" vertical="center"/>
    </xf>
    <xf numFmtId="2" fontId="19" fillId="0" borderId="1" xfId="0" applyNumberFormat="1" applyFont="1" applyBorder="1" applyAlignment="1">
      <alignment horizontal="left" vertical="center"/>
    </xf>
    <xf numFmtId="0" fontId="17" fillId="0" borderId="0" xfId="0" applyFont="1" applyAlignment="1">
      <alignment vertical="center"/>
    </xf>
    <xf numFmtId="0" fontId="2" fillId="0" borderId="0" xfId="0" applyFont="1" applyAlignment="1">
      <alignment vertical="center"/>
    </xf>
    <xf numFmtId="0" fontId="2" fillId="0" borderId="0" xfId="0" applyFont="1" applyAlignment="1">
      <alignment horizontal="center" vertical="center"/>
    </xf>
    <xf numFmtId="2" fontId="19" fillId="0" borderId="1" xfId="0" applyNumberFormat="1" applyFont="1" applyBorder="1" applyAlignment="1">
      <alignment horizontal="left" vertical="center" wrapText="1"/>
    </xf>
    <xf numFmtId="2" fontId="19" fillId="0" borderId="0" xfId="0" applyNumberFormat="1" applyFont="1" applyAlignment="1">
      <alignment vertical="center" wrapText="1"/>
    </xf>
    <xf numFmtId="0" fontId="17" fillId="0" borderId="0" xfId="0" applyFont="1" applyAlignment="1">
      <alignment horizontal="center" vertical="center"/>
    </xf>
    <xf numFmtId="0" fontId="31" fillId="0" borderId="0" xfId="0" applyFont="1" applyAlignment="1">
      <alignment vertical="center"/>
    </xf>
    <xf numFmtId="0" fontId="5" fillId="0" borderId="0" xfId="0" applyFont="1" applyAlignment="1">
      <alignment horizontal="left" vertical="center"/>
    </xf>
    <xf numFmtId="164" fontId="16" fillId="16" borderId="1" xfId="0" applyNumberFormat="1" applyFont="1" applyFill="1" applyBorder="1" applyAlignment="1" applyProtection="1">
      <alignment vertical="center"/>
      <protection locked="0"/>
    </xf>
    <xf numFmtId="165" fontId="0" fillId="16" borderId="3" xfId="1" applyNumberFormat="1" applyFont="1" applyFill="1" applyBorder="1" applyAlignment="1" applyProtection="1">
      <alignment horizontal="center" vertical="center"/>
      <protection locked="0"/>
    </xf>
    <xf numFmtId="2" fontId="16" fillId="15" borderId="1" xfId="0" applyNumberFormat="1" applyFont="1" applyFill="1" applyBorder="1" applyAlignment="1" applyProtection="1">
      <alignment vertical="center"/>
      <protection locked="0"/>
    </xf>
    <xf numFmtId="165" fontId="16" fillId="16" borderId="3" xfId="1" applyNumberFormat="1" applyFont="1" applyFill="1" applyBorder="1" applyAlignment="1" applyProtection="1">
      <alignment horizontal="center" vertical="center"/>
      <protection locked="0"/>
    </xf>
    <xf numFmtId="0" fontId="8" fillId="22" borderId="0" xfId="0" applyFont="1" applyFill="1" applyAlignment="1">
      <alignment horizontal="left" vertical="center"/>
    </xf>
    <xf numFmtId="0" fontId="8" fillId="0" borderId="0" xfId="0" applyFont="1" applyAlignment="1">
      <alignment horizontal="left" vertical="center"/>
    </xf>
    <xf numFmtId="0" fontId="8" fillId="0" borderId="0" xfId="0" applyFont="1" applyAlignment="1" applyProtection="1">
      <alignment horizontal="left" vertical="center"/>
      <protection hidden="1"/>
    </xf>
    <xf numFmtId="0" fontId="32" fillId="0" borderId="0" xfId="0" applyFont="1" applyAlignment="1" applyProtection="1">
      <alignment horizontal="left" vertical="center"/>
      <protection hidden="1"/>
    </xf>
    <xf numFmtId="0" fontId="33" fillId="0" borderId="0" xfId="0" applyFont="1" applyAlignment="1" applyProtection="1">
      <alignment horizontal="left" vertical="center"/>
      <protection hidden="1"/>
    </xf>
    <xf numFmtId="2" fontId="8" fillId="0" borderId="0" xfId="0" applyNumberFormat="1" applyFont="1" applyAlignment="1" applyProtection="1">
      <alignment horizontal="left" vertical="center"/>
      <protection hidden="1"/>
    </xf>
    <xf numFmtId="2" fontId="27" fillId="0" borderId="0" xfId="0" applyNumberFormat="1" applyFont="1" applyAlignment="1" applyProtection="1">
      <alignment horizontal="left" vertical="center"/>
      <protection hidden="1"/>
    </xf>
    <xf numFmtId="2" fontId="30" fillId="17" borderId="20" xfId="0" applyNumberFormat="1" applyFont="1" applyFill="1" applyBorder="1" applyAlignment="1">
      <alignment horizontal="center" vertical="top" wrapText="1"/>
    </xf>
    <xf numFmtId="164" fontId="0" fillId="4" borderId="0" xfId="0" applyNumberFormat="1" applyFill="1" applyAlignment="1">
      <alignment horizontal="left" vertical="center"/>
    </xf>
    <xf numFmtId="0" fontId="0" fillId="0" borderId="12" xfId="0" applyBorder="1" applyAlignment="1">
      <alignment vertical="center"/>
    </xf>
    <xf numFmtId="165" fontId="16" fillId="14" borderId="7" xfId="1" applyNumberFormat="1" applyFont="1" applyFill="1" applyBorder="1" applyAlignment="1" applyProtection="1">
      <alignment horizontal="center" vertical="center"/>
    </xf>
    <xf numFmtId="2" fontId="16" fillId="16" borderId="1" xfId="0" applyNumberFormat="1" applyFont="1" applyFill="1" applyBorder="1" applyAlignment="1" applyProtection="1">
      <alignment vertical="center"/>
      <protection locked="0"/>
    </xf>
    <xf numFmtId="2" fontId="16" fillId="6" borderId="1" xfId="0" applyNumberFormat="1" applyFont="1" applyFill="1" applyBorder="1" applyAlignment="1">
      <alignment vertical="center"/>
    </xf>
    <xf numFmtId="2" fontId="16" fillId="16" borderId="9" xfId="0" applyNumberFormat="1" applyFont="1" applyFill="1" applyBorder="1" applyAlignment="1" applyProtection="1">
      <alignment vertical="center"/>
      <protection locked="0"/>
    </xf>
    <xf numFmtId="2" fontId="0" fillId="4" borderId="1" xfId="0" applyNumberFormat="1" applyFill="1" applyBorder="1" applyAlignment="1">
      <alignment horizontal="right" vertical="center"/>
    </xf>
    <xf numFmtId="2" fontId="16" fillId="15" borderId="1" xfId="0" applyNumberFormat="1" applyFont="1" applyFill="1" applyBorder="1" applyAlignment="1" applyProtection="1">
      <alignment horizontal="right" vertical="center"/>
      <protection locked="0"/>
    </xf>
    <xf numFmtId="2" fontId="16" fillId="4" borderId="1" xfId="0" applyNumberFormat="1" applyFont="1" applyFill="1" applyBorder="1" applyAlignment="1">
      <alignment horizontal="right" vertical="center"/>
    </xf>
    <xf numFmtId="2" fontId="14" fillId="4" borderId="6" xfId="0" applyNumberFormat="1" applyFont="1" applyFill="1" applyBorder="1" applyAlignment="1">
      <alignment vertical="center"/>
    </xf>
    <xf numFmtId="2" fontId="14" fillId="4" borderId="1" xfId="0" applyNumberFormat="1" applyFont="1" applyFill="1" applyBorder="1" applyAlignment="1">
      <alignment vertical="center"/>
    </xf>
    <xf numFmtId="2" fontId="14" fillId="4" borderId="9" xfId="0" applyNumberFormat="1" applyFont="1" applyFill="1" applyBorder="1" applyAlignment="1">
      <alignment vertical="center"/>
    </xf>
    <xf numFmtId="0" fontId="0" fillId="0" borderId="1" xfId="2" applyFont="1" applyFill="1" applyBorder="1" applyAlignment="1" applyProtection="1">
      <alignment horizontal="left" vertical="center" wrapText="1"/>
    </xf>
    <xf numFmtId="0" fontId="0" fillId="0" borderId="22" xfId="0" applyBorder="1" applyAlignment="1">
      <alignment vertical="center"/>
    </xf>
    <xf numFmtId="0" fontId="0" fillId="0" borderId="22" xfId="0" applyBorder="1" applyAlignment="1">
      <alignment vertical="center" wrapText="1"/>
    </xf>
    <xf numFmtId="0" fontId="0" fillId="14" borderId="22" xfId="0" applyFill="1" applyBorder="1" applyAlignment="1">
      <alignment vertical="center"/>
    </xf>
    <xf numFmtId="2" fontId="8" fillId="0" borderId="0" xfId="0" applyNumberFormat="1" applyFont="1" applyAlignment="1">
      <alignment horizontal="left" vertical="center"/>
    </xf>
    <xf numFmtId="0" fontId="0" fillId="18" borderId="0" xfId="0" applyFill="1"/>
    <xf numFmtId="0" fontId="0" fillId="26" borderId="1" xfId="0" applyFill="1" applyBorder="1" applyAlignment="1">
      <alignment vertical="center"/>
    </xf>
    <xf numFmtId="0" fontId="35" fillId="26" borderId="1" xfId="0" applyFont="1" applyFill="1" applyBorder="1" applyAlignment="1">
      <alignment vertical="center" wrapText="1"/>
    </xf>
    <xf numFmtId="0" fontId="0" fillId="27" borderId="0" xfId="0" applyFill="1"/>
    <xf numFmtId="0" fontId="0" fillId="16" borderId="1" xfId="0" applyFill="1" applyBorder="1" applyAlignment="1" applyProtection="1">
      <alignment vertical="center" wrapText="1"/>
      <protection locked="0"/>
    </xf>
    <xf numFmtId="10" fontId="0" fillId="15" borderId="1" xfId="0" applyNumberFormat="1" applyFill="1" applyBorder="1" applyAlignment="1" applyProtection="1">
      <alignment horizontal="center" vertical="center" wrapText="1"/>
      <protection locked="0"/>
    </xf>
    <xf numFmtId="2" fontId="29" fillId="0" borderId="0" xfId="0" applyNumberFormat="1" applyFont="1" applyAlignment="1">
      <alignment horizontal="center" vertical="center"/>
    </xf>
    <xf numFmtId="0" fontId="0" fillId="0" borderId="0" xfId="0" applyAlignment="1" applyProtection="1">
      <alignment vertical="center"/>
      <protection hidden="1"/>
    </xf>
    <xf numFmtId="165" fontId="7" fillId="6" borderId="4" xfId="1" applyNumberFormat="1" applyFont="1" applyFill="1" applyBorder="1" applyAlignment="1" applyProtection="1">
      <alignment horizontal="center" vertical="center"/>
    </xf>
    <xf numFmtId="0" fontId="0" fillId="28" borderId="0" xfId="0" applyFill="1"/>
    <xf numFmtId="0" fontId="1" fillId="18" borderId="0" xfId="0" applyFont="1" applyFill="1"/>
    <xf numFmtId="166" fontId="0" fillId="0" borderId="0" xfId="0" applyNumberFormat="1" applyAlignment="1">
      <alignment vertical="center"/>
    </xf>
    <xf numFmtId="0" fontId="27" fillId="29" borderId="1" xfId="0" applyFont="1" applyFill="1" applyBorder="1" applyAlignment="1">
      <alignment horizontal="center" vertical="center" wrapText="1"/>
    </xf>
    <xf numFmtId="0" fontId="1" fillId="30" borderId="1" xfId="0" applyFont="1" applyFill="1" applyBorder="1" applyAlignment="1">
      <alignment horizontal="center" vertical="center"/>
    </xf>
    <xf numFmtId="0" fontId="0" fillId="30" borderId="1" xfId="0" applyFill="1" applyBorder="1" applyAlignment="1">
      <alignment horizontal="center" vertical="center"/>
    </xf>
    <xf numFmtId="0" fontId="1" fillId="31" borderId="1" xfId="0" applyFont="1" applyFill="1" applyBorder="1" applyAlignment="1">
      <alignment horizontal="center" vertical="center"/>
    </xf>
    <xf numFmtId="0" fontId="0" fillId="31" borderId="1" xfId="0" applyFill="1" applyBorder="1" applyAlignment="1">
      <alignment horizontal="center" vertical="center"/>
    </xf>
    <xf numFmtId="0" fontId="0" fillId="0" borderId="12" xfId="0" applyBorder="1" applyAlignment="1">
      <alignment horizontal="left" vertical="center"/>
    </xf>
    <xf numFmtId="0" fontId="0" fillId="0" borderId="6" xfId="0" applyBorder="1" applyAlignment="1">
      <alignment horizontal="left" vertical="center" wrapText="1"/>
    </xf>
    <xf numFmtId="49" fontId="37" fillId="16" borderId="6" xfId="0" applyNumberFormat="1" applyFont="1" applyFill="1" applyBorder="1" applyAlignment="1" applyProtection="1">
      <alignment vertical="center"/>
      <protection locked="0"/>
    </xf>
    <xf numFmtId="0" fontId="16" fillId="14" borderId="7" xfId="0" applyFont="1" applyFill="1" applyBorder="1" applyAlignment="1">
      <alignment horizontal="center" vertical="center"/>
    </xf>
    <xf numFmtId="2" fontId="0" fillId="16" borderId="0" xfId="0" applyNumberFormat="1" applyFill="1" applyAlignment="1" applyProtection="1">
      <alignment vertical="center"/>
      <protection locked="0"/>
    </xf>
    <xf numFmtId="0" fontId="0" fillId="0" borderId="26" xfId="0" applyBorder="1" applyAlignment="1">
      <alignment horizontal="left" vertical="center"/>
    </xf>
    <xf numFmtId="0" fontId="0" fillId="0" borderId="24" xfId="0" applyBorder="1" applyAlignment="1">
      <alignment horizontal="left" vertical="center" wrapText="1"/>
    </xf>
    <xf numFmtId="165" fontId="7" fillId="14" borderId="27" xfId="1" applyNumberFormat="1" applyFont="1" applyFill="1" applyBorder="1" applyAlignment="1" applyProtection="1">
      <alignment horizontal="center" vertical="center"/>
    </xf>
    <xf numFmtId="167" fontId="16" fillId="15" borderId="1" xfId="0" applyNumberFormat="1" applyFont="1" applyFill="1" applyBorder="1" applyAlignment="1" applyProtection="1">
      <alignment vertical="center"/>
      <protection locked="0"/>
    </xf>
    <xf numFmtId="0" fontId="0" fillId="14" borderId="1" xfId="0" applyFill="1" applyBorder="1" applyAlignment="1">
      <alignment horizontal="left" vertical="center"/>
    </xf>
    <xf numFmtId="0" fontId="0" fillId="14" borderId="24" xfId="0" applyFill="1" applyBorder="1" applyAlignment="1">
      <alignment horizontal="left" vertical="center"/>
    </xf>
    <xf numFmtId="0" fontId="15" fillId="17" borderId="31" xfId="0" applyFont="1" applyFill="1" applyBorder="1" applyAlignment="1">
      <alignment horizontal="center" vertical="center" wrapText="1"/>
    </xf>
    <xf numFmtId="2" fontId="14" fillId="4" borderId="22" xfId="0" applyNumberFormat="1" applyFont="1" applyFill="1" applyBorder="1" applyAlignment="1">
      <alignment vertical="center"/>
    </xf>
    <xf numFmtId="0" fontId="8" fillId="5" borderId="22" xfId="0" applyFont="1" applyFill="1" applyBorder="1" applyAlignment="1">
      <alignment horizontal="center" vertical="center"/>
    </xf>
    <xf numFmtId="0" fontId="8" fillId="5" borderId="22" xfId="0" applyFont="1" applyFill="1" applyBorder="1" applyAlignment="1">
      <alignment horizontal="center" vertical="center" wrapText="1"/>
    </xf>
    <xf numFmtId="2" fontId="8" fillId="5" borderId="22" xfId="0" applyNumberFormat="1" applyFont="1" applyFill="1" applyBorder="1" applyAlignment="1">
      <alignment horizontal="right" vertical="center" indent="1"/>
    </xf>
    <xf numFmtId="0" fontId="8" fillId="5" borderId="22" xfId="0" applyFont="1" applyFill="1" applyBorder="1" applyAlignment="1">
      <alignment horizontal="left" vertical="center"/>
    </xf>
    <xf numFmtId="165" fontId="7" fillId="14" borderId="22" xfId="1" applyNumberFormat="1" applyFont="1" applyFill="1" applyBorder="1" applyAlignment="1" applyProtection="1">
      <alignment horizontal="center" vertical="center"/>
    </xf>
    <xf numFmtId="165" fontId="16" fillId="16" borderId="22" xfId="1" applyNumberFormat="1" applyFont="1" applyFill="1" applyBorder="1" applyAlignment="1" applyProtection="1">
      <alignment horizontal="center" vertical="center"/>
      <protection locked="0"/>
    </xf>
    <xf numFmtId="2" fontId="15" fillId="17" borderId="32" xfId="0" applyNumberFormat="1" applyFont="1" applyFill="1" applyBorder="1" applyAlignment="1">
      <alignment horizontal="right" vertical="center" wrapText="1" indent="1"/>
    </xf>
    <xf numFmtId="0" fontId="15" fillId="17" borderId="32" xfId="0" applyFont="1" applyFill="1" applyBorder="1" applyAlignment="1">
      <alignment vertical="center" wrapText="1"/>
    </xf>
    <xf numFmtId="0" fontId="0" fillId="0" borderId="33" xfId="0" applyBorder="1" applyAlignment="1">
      <alignment horizontal="left" vertical="center"/>
    </xf>
    <xf numFmtId="0" fontId="0" fillId="0" borderId="34" xfId="0" applyBorder="1" applyAlignment="1">
      <alignment horizontal="left" vertical="center" wrapText="1"/>
    </xf>
    <xf numFmtId="2" fontId="16" fillId="6" borderId="34" xfId="0" applyNumberFormat="1" applyFont="1" applyFill="1" applyBorder="1" applyAlignment="1">
      <alignment horizontal="right" vertical="center"/>
    </xf>
    <xf numFmtId="0" fontId="16" fillId="14" borderId="34" xfId="0" applyFont="1" applyFill="1" applyBorder="1" applyAlignment="1">
      <alignment horizontal="left" vertical="center"/>
    </xf>
    <xf numFmtId="0" fontId="16" fillId="4" borderId="9" xfId="0" applyFont="1" applyFill="1" applyBorder="1" applyAlignment="1">
      <alignment horizontal="right" vertical="center"/>
    </xf>
    <xf numFmtId="2" fontId="15" fillId="17" borderId="14" xfId="0" applyNumberFormat="1" applyFont="1" applyFill="1" applyBorder="1" applyAlignment="1">
      <alignment horizontal="right" vertical="center" wrapText="1" indent="1"/>
    </xf>
    <xf numFmtId="0" fontId="15" fillId="17" borderId="14" xfId="0" applyFont="1" applyFill="1" applyBorder="1" applyAlignment="1">
      <alignment vertical="center" wrapText="1"/>
    </xf>
    <xf numFmtId="0" fontId="16" fillId="14" borderId="6" xfId="0" applyFont="1" applyFill="1" applyBorder="1" applyAlignment="1">
      <alignment vertical="center" wrapText="1"/>
    </xf>
    <xf numFmtId="2" fontId="14" fillId="14" borderId="1" xfId="0" applyNumberFormat="1" applyFont="1" applyFill="1" applyBorder="1" applyAlignment="1">
      <alignment horizontal="right" vertical="center" indent="1"/>
    </xf>
    <xf numFmtId="165" fontId="14" fillId="14" borderId="3" xfId="1" applyNumberFormat="1" applyFont="1" applyFill="1" applyBorder="1" applyAlignment="1" applyProtection="1">
      <alignment horizontal="center" vertical="center"/>
    </xf>
    <xf numFmtId="165" fontId="16" fillId="32" borderId="3" xfId="1" applyNumberFormat="1" applyFont="1" applyFill="1" applyBorder="1" applyAlignment="1" applyProtection="1">
      <alignment horizontal="center" vertical="center"/>
      <protection locked="0"/>
    </xf>
    <xf numFmtId="0" fontId="2" fillId="0" borderId="24" xfId="0" applyFont="1" applyBorder="1" applyAlignment="1">
      <alignment horizontal="left" vertical="center" wrapText="1"/>
    </xf>
    <xf numFmtId="2" fontId="16" fillId="4" borderId="24" xfId="0" applyNumberFormat="1" applyFont="1" applyFill="1" applyBorder="1" applyAlignment="1">
      <alignment vertical="center"/>
    </xf>
    <xf numFmtId="0" fontId="14" fillId="14" borderId="24" xfId="0" applyFont="1" applyFill="1" applyBorder="1" applyAlignment="1">
      <alignment horizontal="left" vertical="center"/>
    </xf>
    <xf numFmtId="165" fontId="14" fillId="6" borderId="27" xfId="1" applyNumberFormat="1" applyFont="1" applyFill="1" applyBorder="1" applyAlignment="1" applyProtection="1">
      <alignment horizontal="center" vertical="center"/>
    </xf>
    <xf numFmtId="2" fontId="30" fillId="4" borderId="1" xfId="0" applyNumberFormat="1" applyFont="1" applyFill="1" applyBorder="1" applyAlignment="1">
      <alignment horizontal="center" vertical="center"/>
    </xf>
    <xf numFmtId="164" fontId="0" fillId="0" borderId="1" xfId="0" applyNumberFormat="1" applyBorder="1" applyAlignment="1">
      <alignment horizontal="left" vertical="center"/>
    </xf>
    <xf numFmtId="166" fontId="0" fillId="0" borderId="0" xfId="0" applyNumberFormat="1" applyAlignment="1">
      <alignment horizontal="left" vertical="center"/>
    </xf>
    <xf numFmtId="166" fontId="2" fillId="0" borderId="0" xfId="0" applyNumberFormat="1" applyFont="1" applyAlignment="1">
      <alignment horizontal="left" vertical="center"/>
    </xf>
    <xf numFmtId="166" fontId="0" fillId="0" borderId="0" xfId="0" applyNumberFormat="1" applyAlignment="1">
      <alignment horizontal="right" vertical="center"/>
    </xf>
    <xf numFmtId="166" fontId="17" fillId="0" borderId="0" xfId="0" applyNumberFormat="1" applyFont="1" applyAlignment="1">
      <alignment vertical="center"/>
    </xf>
    <xf numFmtId="166" fontId="0" fillId="0" borderId="0" xfId="0" applyNumberFormat="1" applyAlignment="1" applyProtection="1">
      <alignment vertical="center"/>
      <protection hidden="1"/>
    </xf>
    <xf numFmtId="166" fontId="0" fillId="0" borderId="0" xfId="0" applyNumberFormat="1"/>
    <xf numFmtId="0" fontId="5" fillId="0" borderId="6" xfId="0" applyFont="1" applyBorder="1" applyAlignment="1">
      <alignment horizontal="left" vertical="center" wrapText="1"/>
    </xf>
    <xf numFmtId="0" fontId="20" fillId="17" borderId="22" xfId="0" applyFont="1" applyFill="1" applyBorder="1" applyAlignment="1" applyProtection="1">
      <alignment vertical="center"/>
      <protection hidden="1"/>
    </xf>
    <xf numFmtId="0" fontId="15" fillId="17" borderId="22" xfId="0" applyFont="1" applyFill="1" applyBorder="1" applyAlignment="1" applyProtection="1">
      <alignment vertical="center" wrapText="1"/>
      <protection hidden="1"/>
    </xf>
    <xf numFmtId="2" fontId="15" fillId="17" borderId="22" xfId="0" applyNumberFormat="1" applyFont="1" applyFill="1" applyBorder="1" applyAlignment="1" applyProtection="1">
      <alignment horizontal="right" vertical="center" wrapText="1" indent="1"/>
      <protection hidden="1"/>
    </xf>
    <xf numFmtId="0" fontId="15" fillId="17" borderId="22" xfId="0" applyFont="1" applyFill="1" applyBorder="1" applyAlignment="1" applyProtection="1">
      <alignment horizontal="center" vertical="center" wrapText="1"/>
      <protection hidden="1"/>
    </xf>
    <xf numFmtId="2" fontId="16" fillId="16" borderId="22" xfId="0" applyNumberFormat="1" applyFont="1" applyFill="1" applyBorder="1" applyAlignment="1" applyProtection="1">
      <alignment vertical="center"/>
      <protection locked="0"/>
    </xf>
    <xf numFmtId="165" fontId="16" fillId="6" borderId="22" xfId="1" applyNumberFormat="1" applyFont="1" applyFill="1" applyBorder="1" applyAlignment="1" applyProtection="1">
      <alignment horizontal="center" vertical="center"/>
    </xf>
    <xf numFmtId="0" fontId="0" fillId="22" borderId="22" xfId="0" applyFill="1" applyBorder="1" applyAlignment="1" applyProtection="1">
      <alignment vertical="center"/>
      <protection hidden="1"/>
    </xf>
    <xf numFmtId="0" fontId="0" fillId="22" borderId="22" xfId="0" applyFill="1" applyBorder="1" applyAlignment="1" applyProtection="1">
      <alignment vertical="center" wrapText="1"/>
      <protection hidden="1"/>
    </xf>
    <xf numFmtId="164" fontId="14" fillId="16" borderId="22" xfId="0" applyNumberFormat="1" applyFont="1" applyFill="1" applyBorder="1" applyAlignment="1" applyProtection="1">
      <alignment horizontal="right" vertical="center" indent="1"/>
      <protection locked="0"/>
    </xf>
    <xf numFmtId="0" fontId="0" fillId="14" borderId="22" xfId="0" applyFill="1" applyBorder="1" applyAlignment="1" applyProtection="1">
      <alignment vertical="center"/>
      <protection hidden="1"/>
    </xf>
    <xf numFmtId="165" fontId="7" fillId="16" borderId="22" xfId="1" applyNumberFormat="1" applyFont="1" applyFill="1" applyBorder="1" applyAlignment="1" applyProtection="1">
      <alignment horizontal="center" vertical="center"/>
      <protection locked="0"/>
    </xf>
    <xf numFmtId="164" fontId="14" fillId="4" borderId="22" xfId="0" applyNumberFormat="1" applyFont="1" applyFill="1" applyBorder="1" applyAlignment="1">
      <alignment horizontal="right" vertical="center" indent="1"/>
    </xf>
    <xf numFmtId="0" fontId="16" fillId="14" borderId="22" xfId="0" applyFont="1" applyFill="1" applyBorder="1" applyAlignment="1" applyProtection="1">
      <alignment horizontal="left" vertical="center"/>
      <protection hidden="1"/>
    </xf>
    <xf numFmtId="165" fontId="16" fillId="14" borderId="22" xfId="1" applyNumberFormat="1" applyFont="1" applyFill="1" applyBorder="1" applyAlignment="1" applyProtection="1">
      <alignment horizontal="center" vertical="center"/>
      <protection hidden="1"/>
    </xf>
    <xf numFmtId="0" fontId="1" fillId="2" borderId="22" xfId="0" applyFont="1" applyFill="1" applyBorder="1" applyAlignment="1" applyProtection="1">
      <alignment vertical="center"/>
      <protection hidden="1"/>
    </xf>
    <xf numFmtId="0" fontId="1" fillId="2" borderId="22" xfId="0" applyFont="1" applyFill="1" applyBorder="1" applyAlignment="1" applyProtection="1">
      <alignment vertical="center" wrapText="1"/>
      <protection hidden="1"/>
    </xf>
    <xf numFmtId="2" fontId="14" fillId="14" borderId="22" xfId="0" applyNumberFormat="1" applyFont="1" applyFill="1" applyBorder="1" applyAlignment="1" applyProtection="1">
      <alignment horizontal="right" vertical="center" indent="1"/>
      <protection hidden="1"/>
    </xf>
    <xf numFmtId="165" fontId="14" fillId="14" borderId="22" xfId="1" applyNumberFormat="1" applyFont="1" applyFill="1" applyBorder="1" applyAlignment="1" applyProtection="1">
      <alignment horizontal="center" vertical="center"/>
      <protection hidden="1"/>
    </xf>
    <xf numFmtId="0" fontId="0" fillId="25" borderId="22" xfId="0" applyFill="1" applyBorder="1" applyAlignment="1" applyProtection="1">
      <alignment vertical="center"/>
      <protection hidden="1"/>
    </xf>
    <xf numFmtId="0" fontId="0" fillId="25" borderId="22" xfId="0" applyFill="1" applyBorder="1" applyAlignment="1" applyProtection="1">
      <alignment vertical="center" wrapText="1"/>
      <protection hidden="1"/>
    </xf>
    <xf numFmtId="2" fontId="14" fillId="15" borderId="22" xfId="0" applyNumberFormat="1" applyFont="1" applyFill="1" applyBorder="1" applyAlignment="1" applyProtection="1">
      <alignment horizontal="right" vertical="center" indent="1"/>
      <protection locked="0"/>
    </xf>
    <xf numFmtId="10" fontId="0" fillId="15" borderId="22" xfId="0" applyNumberFormat="1" applyFill="1" applyBorder="1" applyAlignment="1" applyProtection="1">
      <alignment horizontal="center" vertical="center" wrapText="1"/>
      <protection locked="0"/>
    </xf>
    <xf numFmtId="0" fontId="31" fillId="22" borderId="22" xfId="0" applyFont="1" applyFill="1" applyBorder="1" applyAlignment="1" applyProtection="1">
      <alignment vertical="center"/>
      <protection hidden="1"/>
    </xf>
    <xf numFmtId="0" fontId="31" fillId="22" borderId="22" xfId="0" applyFont="1" applyFill="1" applyBorder="1" applyAlignment="1" applyProtection="1">
      <alignment vertical="center" wrapText="1"/>
      <protection hidden="1"/>
    </xf>
    <xf numFmtId="2" fontId="34" fillId="4" borderId="22" xfId="0" applyNumberFormat="1" applyFont="1" applyFill="1" applyBorder="1" applyAlignment="1">
      <alignment horizontal="right" vertical="center" indent="1"/>
    </xf>
    <xf numFmtId="0" fontId="34" fillId="14" borderId="22" xfId="0" applyFont="1" applyFill="1" applyBorder="1" applyAlignment="1">
      <alignment horizontal="left" vertical="center"/>
    </xf>
    <xf numFmtId="0" fontId="2" fillId="22" borderId="22" xfId="0" applyFont="1" applyFill="1" applyBorder="1" applyAlignment="1" applyProtection="1">
      <alignment vertical="center"/>
      <protection hidden="1"/>
    </xf>
    <xf numFmtId="0" fontId="2" fillId="22" borderId="22" xfId="0" applyFont="1" applyFill="1" applyBorder="1" applyAlignment="1" applyProtection="1">
      <alignment vertical="center" wrapText="1"/>
      <protection hidden="1"/>
    </xf>
    <xf numFmtId="2" fontId="14" fillId="4" borderId="22" xfId="0" applyNumberFormat="1" applyFont="1" applyFill="1" applyBorder="1" applyAlignment="1">
      <alignment horizontal="right" vertical="center" indent="1"/>
    </xf>
    <xf numFmtId="0" fontId="14" fillId="14" borderId="22" xfId="0" applyFont="1" applyFill="1" applyBorder="1" applyAlignment="1">
      <alignment horizontal="left" vertical="center"/>
    </xf>
    <xf numFmtId="2" fontId="16" fillId="4" borderId="22" xfId="0" applyNumberFormat="1" applyFont="1" applyFill="1" applyBorder="1" applyAlignment="1">
      <alignment vertical="center"/>
    </xf>
    <xf numFmtId="0" fontId="16" fillId="14" borderId="22" xfId="0" applyFont="1" applyFill="1" applyBorder="1" applyAlignment="1">
      <alignment horizontal="left" vertical="center"/>
    </xf>
    <xf numFmtId="0" fontId="0" fillId="0" borderId="22" xfId="0" applyBorder="1" applyAlignment="1">
      <alignment horizontal="left" vertical="center"/>
    </xf>
    <xf numFmtId="0" fontId="0" fillId="0" borderId="22" xfId="0" applyBorder="1" applyAlignment="1">
      <alignment horizontal="left" vertical="center" wrapText="1"/>
    </xf>
    <xf numFmtId="165" fontId="0" fillId="14" borderId="22" xfId="1" applyNumberFormat="1" applyFont="1" applyFill="1" applyBorder="1" applyAlignment="1" applyProtection="1">
      <alignment horizontal="center" vertical="center"/>
    </xf>
    <xf numFmtId="2" fontId="16" fillId="15" borderId="22" xfId="0" applyNumberFormat="1" applyFont="1" applyFill="1" applyBorder="1" applyAlignment="1" applyProtection="1">
      <alignment vertical="center"/>
      <protection locked="0"/>
    </xf>
    <xf numFmtId="165" fontId="0" fillId="16" borderId="22" xfId="1" applyNumberFormat="1" applyFont="1" applyFill="1" applyBorder="1" applyAlignment="1" applyProtection="1">
      <alignment horizontal="center" vertical="center"/>
      <protection locked="0"/>
    </xf>
    <xf numFmtId="165" fontId="7" fillId="6" borderId="22" xfId="1" applyNumberFormat="1" applyFont="1" applyFill="1" applyBorder="1" applyAlignment="1" applyProtection="1">
      <alignment horizontal="center" vertical="center"/>
    </xf>
    <xf numFmtId="165" fontId="0" fillId="6" borderId="22" xfId="1" applyNumberFormat="1" applyFont="1" applyFill="1" applyBorder="1" applyAlignment="1" applyProtection="1">
      <alignment horizontal="center" vertical="center"/>
    </xf>
    <xf numFmtId="166" fontId="17" fillId="0" borderId="0" xfId="0" applyNumberFormat="1" applyFont="1" applyAlignment="1">
      <alignment horizontal="center" vertical="center"/>
    </xf>
    <xf numFmtId="166" fontId="0" fillId="0" borderId="0" xfId="0" applyNumberFormat="1" applyAlignment="1">
      <alignment horizontal="center" vertical="center"/>
    </xf>
    <xf numFmtId="166" fontId="0" fillId="22" borderId="0" xfId="0" applyNumberFormat="1" applyFill="1" applyAlignment="1">
      <alignment horizontal="center" vertical="center"/>
    </xf>
    <xf numFmtId="0" fontId="0" fillId="15" borderId="22" xfId="0" applyFill="1" applyBorder="1" applyAlignment="1" applyProtection="1">
      <alignment vertical="center" wrapText="1"/>
      <protection locked="0"/>
    </xf>
    <xf numFmtId="0" fontId="27" fillId="29" borderId="35" xfId="0" applyFont="1" applyFill="1" applyBorder="1" applyAlignment="1">
      <alignment horizontal="center" vertical="center" wrapText="1"/>
    </xf>
    <xf numFmtId="0" fontId="28" fillId="4" borderId="11" xfId="0" applyFont="1" applyFill="1" applyBorder="1" applyAlignment="1">
      <alignment horizontal="center" vertical="center"/>
    </xf>
    <xf numFmtId="0" fontId="28" fillId="4" borderId="0" xfId="0" applyFont="1" applyFill="1" applyAlignment="1">
      <alignment horizontal="center" vertical="center"/>
    </xf>
    <xf numFmtId="0" fontId="1" fillId="0" borderId="18" xfId="0" applyFont="1" applyBorder="1" applyAlignment="1">
      <alignment horizontal="left" vertical="center"/>
    </xf>
    <xf numFmtId="0" fontId="1" fillId="0" borderId="19" xfId="0" applyFont="1" applyBorder="1" applyAlignment="1">
      <alignment horizontal="left" vertical="center"/>
    </xf>
    <xf numFmtId="0" fontId="1" fillId="0" borderId="4" xfId="0" applyFont="1" applyBorder="1" applyAlignment="1">
      <alignment horizontal="left" vertical="center"/>
    </xf>
    <xf numFmtId="0" fontId="20" fillId="17" borderId="16" xfId="0" applyFont="1" applyFill="1" applyBorder="1" applyAlignment="1">
      <alignment horizontal="left" vertical="center" wrapText="1"/>
    </xf>
    <xf numFmtId="0" fontId="20" fillId="17" borderId="21" xfId="0" applyFont="1" applyFill="1" applyBorder="1" applyAlignment="1">
      <alignment horizontal="left" vertical="center" wrapText="1"/>
    </xf>
    <xf numFmtId="0" fontId="20" fillId="17" borderId="20" xfId="0" applyFont="1" applyFill="1" applyBorder="1" applyAlignment="1">
      <alignment horizontal="left" vertical="center" wrapText="1"/>
    </xf>
    <xf numFmtId="0" fontId="20" fillId="17" borderId="16" xfId="0" applyFont="1" applyFill="1" applyBorder="1" applyAlignment="1">
      <alignment horizontal="left" vertical="center"/>
    </xf>
    <xf numFmtId="0" fontId="20" fillId="17" borderId="21" xfId="0" applyFont="1" applyFill="1" applyBorder="1" applyAlignment="1">
      <alignment horizontal="left" vertical="center"/>
    </xf>
    <xf numFmtId="0" fontId="20" fillId="17" borderId="20" xfId="0" applyFont="1" applyFill="1" applyBorder="1" applyAlignment="1">
      <alignment horizontal="left" vertical="center"/>
    </xf>
    <xf numFmtId="0" fontId="20" fillId="17" borderId="28" xfId="0" applyFont="1" applyFill="1" applyBorder="1" applyAlignment="1">
      <alignment horizontal="left" vertical="center"/>
    </xf>
    <xf numFmtId="0" fontId="20" fillId="17" borderId="30" xfId="0" applyFont="1" applyFill="1" applyBorder="1" applyAlignment="1">
      <alignment horizontal="left" vertical="center"/>
    </xf>
    <xf numFmtId="0" fontId="20" fillId="17" borderId="17" xfId="0" applyFont="1" applyFill="1" applyBorder="1" applyAlignment="1">
      <alignment horizontal="left" vertical="center"/>
    </xf>
    <xf numFmtId="0" fontId="20" fillId="17" borderId="22" xfId="0" applyFont="1" applyFill="1" applyBorder="1" applyAlignment="1">
      <alignment horizontal="left" vertical="center" wrapText="1"/>
    </xf>
    <xf numFmtId="0" fontId="1" fillId="0" borderId="22" xfId="0" applyFont="1" applyBorder="1" applyAlignment="1">
      <alignment horizontal="left" vertical="center"/>
    </xf>
    <xf numFmtId="0" fontId="9" fillId="0" borderId="25" xfId="0" applyFont="1" applyBorder="1" applyAlignment="1">
      <alignment horizontal="center" vertical="center"/>
    </xf>
    <xf numFmtId="0" fontId="9" fillId="0" borderId="0" xfId="0" applyFont="1" applyAlignment="1">
      <alignment horizontal="center" vertical="center"/>
    </xf>
    <xf numFmtId="0" fontId="20" fillId="17" borderId="17" xfId="0" applyFont="1" applyFill="1" applyBorder="1" applyAlignment="1">
      <alignment horizontal="left" vertical="center" wrapText="1"/>
    </xf>
    <xf numFmtId="0" fontId="17" fillId="0" borderId="0" xfId="0" applyFont="1" applyAlignment="1">
      <alignment horizontal="left" vertical="center"/>
    </xf>
    <xf numFmtId="2" fontId="29" fillId="0" borderId="23" xfId="0" applyNumberFormat="1" applyFont="1" applyBorder="1" applyAlignment="1">
      <alignment horizontal="center" vertical="center"/>
    </xf>
    <xf numFmtId="2" fontId="29" fillId="0" borderId="0" xfId="0" applyNumberFormat="1" applyFont="1" applyAlignment="1">
      <alignment horizontal="center" vertical="center"/>
    </xf>
    <xf numFmtId="0" fontId="20" fillId="17" borderId="28" xfId="0" applyFont="1" applyFill="1" applyBorder="1" applyAlignment="1">
      <alignment horizontal="left" vertical="center" wrapText="1"/>
    </xf>
    <xf numFmtId="0" fontId="20" fillId="17" borderId="29" xfId="0" applyFont="1" applyFill="1" applyBorder="1" applyAlignment="1">
      <alignment horizontal="left" vertical="center" wrapText="1"/>
    </xf>
    <xf numFmtId="0" fontId="20" fillId="17" borderId="30" xfId="0" applyFont="1" applyFill="1" applyBorder="1" applyAlignment="1">
      <alignment horizontal="left" vertical="center" wrapText="1"/>
    </xf>
    <xf numFmtId="0" fontId="0" fillId="12" borderId="1" xfId="0" applyFill="1" applyBorder="1" applyAlignment="1">
      <alignment horizontal="center" vertical="center"/>
    </xf>
    <xf numFmtId="0" fontId="0" fillId="3" borderId="1" xfId="0"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horizontal="center" vertical="center"/>
    </xf>
    <xf numFmtId="0" fontId="0" fillId="9" borderId="1" xfId="0" applyFill="1" applyBorder="1" applyAlignment="1">
      <alignment horizontal="center" vertical="center"/>
    </xf>
    <xf numFmtId="0" fontId="9" fillId="0" borderId="0" xfId="0" applyFont="1" applyAlignment="1">
      <alignment horizontal="center"/>
    </xf>
  </cellXfs>
  <cellStyles count="5">
    <cellStyle name="Bad" xfId="4" builtinId="27"/>
    <cellStyle name="Good" xfId="3" builtinId="26"/>
    <cellStyle name="Hyperlink" xfId="2" builtinId="8"/>
    <cellStyle name="Normal" xfId="0" builtinId="0"/>
    <cellStyle name="Percent" xfId="1" builtinId="5"/>
  </cellStyles>
  <dxfs count="20">
    <dxf>
      <font>
        <color rgb="FFC00000"/>
      </font>
      <fill>
        <patternFill>
          <bgColor rgb="FFFFC7CE"/>
        </patternFill>
      </fill>
    </dxf>
    <dxf>
      <font>
        <color rgb="FFC00000"/>
      </font>
      <fill>
        <patternFill>
          <bgColor rgb="FFFFC7CE"/>
        </patternFill>
      </fill>
    </dxf>
    <dxf>
      <font>
        <color rgb="FFC00000"/>
      </font>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ill>
        <patternFill>
          <fgColor rgb="FFFFC7CE"/>
          <bgColor theme="5" tint="0.59996337778862885"/>
        </patternFill>
      </fill>
    </dxf>
    <dxf>
      <font>
        <color rgb="FF9C0006"/>
      </font>
      <fill>
        <patternFill>
          <bgColor rgb="FFFFC7CE"/>
        </patternFill>
      </fill>
    </dxf>
    <dxf>
      <font>
        <b/>
        <i val="0"/>
        <color auto="1"/>
      </font>
      <fill>
        <patternFill>
          <bgColor rgb="FF00FF00"/>
        </patternFill>
      </fill>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0" defaultTableStyle="TableStyleMedium2" defaultPivotStyle="PivotStyleLight16"/>
  <colors>
    <mruColors>
      <color rgb="FFFFC7CE"/>
      <color rgb="FF00FFFF"/>
      <color rgb="FF0000FF"/>
      <color rgb="FFFF3300"/>
      <color rgb="FFFFFF99"/>
      <color rgb="FFFFFFCC"/>
      <color rgb="FFFF99FF"/>
      <color rgb="FF00FF00"/>
      <color rgb="FF33CC33"/>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0118012439724453"/>
          <c:y val="6.8841608328198134E-2"/>
        </c:manualLayout>
      </c:layout>
      <c:overlay val="0"/>
    </c:title>
    <c:autoTitleDeleted val="0"/>
    <c:plotArea>
      <c:layout>
        <c:manualLayout>
          <c:layoutTarget val="inner"/>
          <c:xMode val="edge"/>
          <c:yMode val="edge"/>
          <c:x val="7.8133152528799418E-2"/>
          <c:y val="3.6848304792191894E-2"/>
          <c:w val="0.86730704081057419"/>
          <c:h val="0.87343973027580013"/>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9.2787087657858452E-2"/>
                  <c:y val="1.465541347840455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111-481C-8910-586B10F4B2D6}"/>
                </c:ext>
              </c:extLst>
            </c:dLbl>
            <c:dLbl>
              <c:idx val="1"/>
              <c:layout>
                <c:manualLayout>
                  <c:x val="-4.1146329539822396E-3"/>
                  <c:y val="9.1229912410495592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11-481C-8910-586B10F4B2D6}"/>
                </c:ext>
              </c:extLst>
            </c:dLbl>
            <c:dLbl>
              <c:idx val="2"/>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11-481C-8910-586B10F4B2D6}"/>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Sheet'!$K$43:$K$46</c:f>
              <c:strCache>
                <c:ptCount val="4"/>
                <c:pt idx="0">
                  <c:v>Power Fail (VIN Falling)</c:v>
                </c:pt>
                <c:pt idx="1">
                  <c:v>Release UVLO (VIN Rising)</c:v>
                </c:pt>
                <c:pt idx="2">
                  <c:v>Release OVLO (VIN Falling)</c:v>
                </c:pt>
                <c:pt idx="3">
                  <c:v>OV Cutoff (VIN Rising)</c:v>
                </c:pt>
              </c:strCache>
            </c:strRef>
          </c:cat>
          <c:val>
            <c:numRef>
              <c:f>'Calculation Sheet'!$J$43:$J$46</c:f>
              <c:numCache>
                <c:formatCode>0.00</c:formatCode>
                <c:ptCount val="4"/>
                <c:pt idx="0">
                  <c:v>5.4813559322033907</c:v>
                </c:pt>
                <c:pt idx="1">
                  <c:v>5.9796610169491524</c:v>
                </c:pt>
                <c:pt idx="2">
                  <c:v>15.041860465116281</c:v>
                </c:pt>
                <c:pt idx="3">
                  <c:v>16.409302325581397</c:v>
                </c:pt>
              </c:numCache>
            </c:numRef>
          </c:val>
          <c:smooth val="0"/>
          <c:extLst>
            <c:ext xmlns:c16="http://schemas.microsoft.com/office/drawing/2014/chart" uri="{C3380CC4-5D6E-409C-BE32-E72D297353CC}">
              <c16:uniqueId val="{00000003-5111-481C-8910-586B10F4B2D6}"/>
            </c:ext>
          </c:extLst>
        </c:ser>
        <c:dLbls>
          <c:showLegendKey val="0"/>
          <c:showVal val="0"/>
          <c:showCatName val="0"/>
          <c:showSerName val="0"/>
          <c:showPercent val="0"/>
          <c:showBubbleSize val="0"/>
        </c:dLbls>
        <c:marker val="1"/>
        <c:smooth val="0"/>
        <c:axId val="141015680"/>
        <c:axId val="141304192"/>
      </c:lineChart>
      <c:catAx>
        <c:axId val="141015680"/>
        <c:scaling>
          <c:orientation val="minMax"/>
        </c:scaling>
        <c:delete val="1"/>
        <c:axPos val="b"/>
        <c:majorGridlines/>
        <c:minorGridlines/>
        <c:numFmt formatCode="General" sourceLinked="1"/>
        <c:majorTickMark val="out"/>
        <c:minorTickMark val="none"/>
        <c:tickLblPos val="nextTo"/>
        <c:crossAx val="141304192"/>
        <c:crosses val="autoZero"/>
        <c:auto val="0"/>
        <c:lblAlgn val="ctr"/>
        <c:lblOffset val="100"/>
        <c:noMultiLvlLbl val="0"/>
      </c:catAx>
      <c:valAx>
        <c:axId val="141304192"/>
        <c:scaling>
          <c:orientation val="minMax"/>
        </c:scaling>
        <c:delete val="0"/>
        <c:axPos val="l"/>
        <c:majorGridlines/>
        <c:numFmt formatCode="0.00" sourceLinked="1"/>
        <c:majorTickMark val="out"/>
        <c:minorTickMark val="none"/>
        <c:tickLblPos val="nextTo"/>
        <c:crossAx val="141015680"/>
        <c:crosses val="autoZero"/>
        <c:crossBetween val="between"/>
      </c:valAx>
    </c:plotArea>
    <c:plotVisOnly val="1"/>
    <c:dispBlanksAs val="gap"/>
    <c:showDLblsOverMax val="0"/>
  </c:chart>
  <c:spPr>
    <a:ln w="38100">
      <a:solidFill>
        <a:srgbClr val="00B050"/>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1568147365500524"/>
          <c:y val="7.4410632963906209E-2"/>
        </c:manualLayout>
      </c:layout>
      <c:overlay val="0"/>
    </c:title>
    <c:autoTitleDeleted val="0"/>
    <c:plotArea>
      <c:layout>
        <c:manualLayout>
          <c:layoutTarget val="inner"/>
          <c:xMode val="edge"/>
          <c:yMode val="edge"/>
          <c:x val="0.10716126526221315"/>
          <c:y val="4.7291727471401007E-2"/>
          <c:w val="0.82587059339021518"/>
          <c:h val="0.88231202221800842"/>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8.5141680229409253E-2"/>
                  <c:y val="3.313293798940453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AB2-47DB-862B-CEBA035801AB}"/>
                </c:ext>
              </c:extLst>
            </c:dLbl>
            <c:dLbl>
              <c:idx val="1"/>
              <c:layout>
                <c:manualLayout>
                  <c:x val="1.368050798922734E-3"/>
                  <c:y val="-2.462010746758232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AB2-47DB-862B-CEBA035801AB}"/>
                </c:ext>
              </c:extLst>
            </c:dLbl>
            <c:dLbl>
              <c:idx val="2"/>
              <c:numFmt formatCode="General" sourceLinked="0"/>
              <c:spPr/>
              <c:txPr>
                <a:bodyPr/>
                <a:lstStyle/>
                <a:p>
                  <a:pPr>
                    <a:defRPr/>
                  </a:pPr>
                  <a:endParaRPr lang="en-US"/>
                </a:p>
              </c:txPr>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AB2-47DB-862B-CEBA035801AB}"/>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multiLvlStrRef>
              <c:f>'Calculation Sheet'!$L$32:$L$34</c:f>
            </c:multiLvlStrRef>
          </c:cat>
          <c:val>
            <c:numRef>
              <c:f>'Calculation Sheet'!$K$32:$K$34</c:f>
            </c:numRef>
          </c:val>
          <c:smooth val="0"/>
          <c:extLst>
            <c:ext xmlns:c16="http://schemas.microsoft.com/office/drawing/2014/chart" uri="{C3380CC4-5D6E-409C-BE32-E72D297353CC}">
              <c16:uniqueId val="{00000003-DAB2-47DB-862B-CEBA035801AB}"/>
            </c:ext>
          </c:extLst>
        </c:ser>
        <c:dLbls>
          <c:showLegendKey val="0"/>
          <c:showVal val="0"/>
          <c:showCatName val="0"/>
          <c:showSerName val="0"/>
          <c:showPercent val="0"/>
          <c:showBubbleSize val="0"/>
        </c:dLbls>
        <c:marker val="1"/>
        <c:smooth val="0"/>
        <c:axId val="141237632"/>
        <c:axId val="141284480"/>
      </c:lineChart>
      <c:catAx>
        <c:axId val="141237632"/>
        <c:scaling>
          <c:orientation val="minMax"/>
        </c:scaling>
        <c:delete val="1"/>
        <c:axPos val="b"/>
        <c:majorGridlines/>
        <c:minorGridlines/>
        <c:numFmt formatCode="General" sourceLinked="1"/>
        <c:majorTickMark val="out"/>
        <c:minorTickMark val="none"/>
        <c:tickLblPos val="nextTo"/>
        <c:crossAx val="141284480"/>
        <c:crosses val="autoZero"/>
        <c:auto val="0"/>
        <c:lblAlgn val="ctr"/>
        <c:lblOffset val="100"/>
        <c:noMultiLvlLbl val="0"/>
      </c:catAx>
      <c:valAx>
        <c:axId val="141284480"/>
        <c:scaling>
          <c:orientation val="minMax"/>
          <c:max val="14"/>
        </c:scaling>
        <c:delete val="0"/>
        <c:axPos val="l"/>
        <c:majorGridlines/>
        <c:numFmt formatCode="0.00" sourceLinked="1"/>
        <c:majorTickMark val="out"/>
        <c:minorTickMark val="none"/>
        <c:tickLblPos val="nextTo"/>
        <c:crossAx val="141237632"/>
        <c:crosses val="autoZero"/>
        <c:crossBetween val="between"/>
      </c:valAx>
    </c:plotArea>
    <c:plotVisOnly val="1"/>
    <c:dispBlanksAs val="gap"/>
    <c:showDLblsOverMax val="0"/>
  </c:chart>
  <c:spPr>
    <a:ln w="44450">
      <a:solidFill>
        <a:srgbClr val="00B050"/>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Current Limits Programmed</a:t>
            </a:r>
          </a:p>
        </c:rich>
      </c:tx>
      <c:layout>
        <c:manualLayout>
          <c:xMode val="edge"/>
          <c:yMode val="edge"/>
          <c:x val="0.10026176548168023"/>
          <c:y val="7.9024883170300236E-2"/>
        </c:manualLayout>
      </c:layout>
      <c:overlay val="0"/>
    </c:title>
    <c:autoTitleDeleted val="0"/>
    <c:plotArea>
      <c:layout>
        <c:manualLayout>
          <c:layoutTarget val="inner"/>
          <c:xMode val="edge"/>
          <c:yMode val="edge"/>
          <c:x val="9.3085739282589675E-2"/>
          <c:y val="6.3406866699778158E-2"/>
          <c:w val="0.87635870516185477"/>
          <c:h val="0.86010711488179736"/>
        </c:manualLayout>
      </c:layout>
      <c:lineChart>
        <c:grouping val="standard"/>
        <c:varyColors val="0"/>
        <c:ser>
          <c:idx val="0"/>
          <c:order val="0"/>
          <c:dLbls>
            <c:dLbl>
              <c:idx val="0"/>
              <c:tx>
                <c:rich>
                  <a:bodyPr/>
                  <a:lstStyle/>
                  <a:p>
                    <a:fld id="{C13A906C-2E0A-41D6-8BAF-1EC6F5F79D63}" type="CELLRANGE">
                      <a:rPr lang="en-US"/>
                      <a:pPr/>
                      <a:t>[CELLRANGE]</a:t>
                    </a:fld>
                    <a:r>
                      <a:rPr lang="en-US" baseline="0"/>
                      <a:t>, </a:t>
                    </a:r>
                    <a:fld id="{EF8754C8-1ED0-4F4E-B778-0FD6F49753B2}"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995-497E-B402-015BDC7A9548}"/>
                </c:ext>
              </c:extLst>
            </c:dLbl>
            <c:dLbl>
              <c:idx val="1"/>
              <c:tx>
                <c:rich>
                  <a:bodyPr/>
                  <a:lstStyle/>
                  <a:p>
                    <a:fld id="{1CF37123-318E-4898-99A0-649D4C77D5F7}" type="CELLRANGE">
                      <a:rPr lang="en-US"/>
                      <a:pPr/>
                      <a:t>[CELLRANGE]</a:t>
                    </a:fld>
                    <a:r>
                      <a:rPr lang="en-US" baseline="0"/>
                      <a:t>, </a:t>
                    </a:r>
                    <a:fld id="{92207FD8-C403-4496-8EF7-EAE870782F2C}" type="VALUE">
                      <a:rPr lang="en-US" baseline="0"/>
                      <a:pPr/>
                      <a:t>[VALUE]</a:t>
                    </a:fld>
                    <a:endParaRPr lang="en-US" baseline="0"/>
                  </a:p>
                </c:rich>
              </c:tx>
              <c:dLblPos val="t"/>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995-497E-B402-015BDC7A9548}"/>
                </c:ext>
              </c:extLst>
            </c:dLbl>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ext>
            </c:extLst>
          </c:dLbls>
          <c:cat>
            <c:strRef>
              <c:f>'Calculation Sheet'!$L$69:$L$70</c:f>
              <c:strCache>
                <c:ptCount val="2"/>
                <c:pt idx="0">
                  <c:v>Inrush Charging 
Current</c:v>
                </c:pt>
                <c:pt idx="1">
                  <c:v>Overload Curr
Limit</c:v>
                </c:pt>
              </c:strCache>
            </c:strRef>
          </c:cat>
          <c:val>
            <c:numRef>
              <c:f>'Calculation Sheet'!$K$69:$K$70</c:f>
              <c:numCache>
                <c:formatCode>0.00</c:formatCode>
                <c:ptCount val="2"/>
                <c:pt idx="0">
                  <c:v>5.2222222222222218E-3</c:v>
                </c:pt>
                <c:pt idx="1">
                  <c:v>0.59535714285714281</c:v>
                </c:pt>
              </c:numCache>
            </c:numRef>
          </c:val>
          <c:smooth val="0"/>
          <c:extLst>
            <c:ext xmlns:c15="http://schemas.microsoft.com/office/drawing/2012/chart" uri="{02D57815-91ED-43cb-92C2-25804820EDAC}">
              <c15:datalabelsRange>
                <c15:f>'Calculation Sheet'!$L$69:$L$70</c15:f>
                <c15:dlblRangeCache>
                  <c:ptCount val="2"/>
                  <c:pt idx="0">
                    <c:v>Inrush Charging 
Current</c:v>
                  </c:pt>
                  <c:pt idx="1">
                    <c:v>Overload Curr
Limit</c:v>
                  </c:pt>
                </c15:dlblRangeCache>
              </c15:datalabelsRange>
            </c:ext>
            <c:ext xmlns:c16="http://schemas.microsoft.com/office/drawing/2014/chart" uri="{C3380CC4-5D6E-409C-BE32-E72D297353CC}">
              <c16:uniqueId val="{00000002-8995-497E-B402-015BDC7A9548}"/>
            </c:ext>
          </c:extLst>
        </c:ser>
        <c:dLbls>
          <c:dLblPos val="t"/>
          <c:showLegendKey val="0"/>
          <c:showVal val="1"/>
          <c:showCatName val="0"/>
          <c:showSerName val="0"/>
          <c:showPercent val="0"/>
          <c:showBubbleSize val="0"/>
        </c:dLbls>
        <c:marker val="1"/>
        <c:smooth val="0"/>
        <c:axId val="140997760"/>
        <c:axId val="140999296"/>
      </c:lineChart>
      <c:catAx>
        <c:axId val="140997760"/>
        <c:scaling>
          <c:orientation val="minMax"/>
        </c:scaling>
        <c:delete val="1"/>
        <c:axPos val="b"/>
        <c:majorGridlines/>
        <c:minorGridlines/>
        <c:numFmt formatCode="General" sourceLinked="0"/>
        <c:majorTickMark val="out"/>
        <c:minorTickMark val="none"/>
        <c:tickLblPos val="nextTo"/>
        <c:crossAx val="140999296"/>
        <c:crosses val="autoZero"/>
        <c:auto val="0"/>
        <c:lblAlgn val="ctr"/>
        <c:lblOffset val="100"/>
        <c:noMultiLvlLbl val="0"/>
      </c:catAx>
      <c:valAx>
        <c:axId val="140999296"/>
        <c:scaling>
          <c:orientation val="minMax"/>
        </c:scaling>
        <c:delete val="0"/>
        <c:axPos val="l"/>
        <c:majorGridlines/>
        <c:numFmt formatCode="0.00" sourceLinked="1"/>
        <c:majorTickMark val="out"/>
        <c:minorTickMark val="none"/>
        <c:tickLblPos val="nextTo"/>
        <c:crossAx val="140997760"/>
        <c:crosses val="autoZero"/>
        <c:crossBetween val="between"/>
      </c:valAx>
    </c:plotArea>
    <c:plotVisOnly val="1"/>
    <c:dispBlanksAs val="gap"/>
    <c:showDLblsOverMax val="0"/>
  </c:chart>
  <c:spPr>
    <a:ln w="41275">
      <a:solidFill>
        <a:srgbClr val="00B050"/>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TREL VS PD</c:v>
          </c:tx>
          <c:marker>
            <c:symbol val="none"/>
          </c:marker>
          <c:xVal>
            <c:numRef>
              <c:f>'TREL PLOT'!$G$2:$G$21</c:f>
              <c:numCache>
                <c:formatCode>General</c:formatCode>
                <c:ptCount val="20"/>
                <c:pt idx="0">
                  <c:v>1.4666845289999999</c:v>
                </c:pt>
                <c:pt idx="1">
                  <c:v>1.8522623190000003</c:v>
                </c:pt>
                <c:pt idx="2">
                  <c:v>2.3433130000000002</c:v>
                </c:pt>
                <c:pt idx="3">
                  <c:v>3.181451</c:v>
                </c:pt>
                <c:pt idx="4">
                  <c:v>3.9222380000000001</c:v>
                </c:pt>
                <c:pt idx="5">
                  <c:v>4.8826229999999997</c:v>
                </c:pt>
                <c:pt idx="6">
                  <c:v>5.8311339999999996</c:v>
                </c:pt>
                <c:pt idx="7">
                  <c:v>6.9908900000000003</c:v>
                </c:pt>
                <c:pt idx="8">
                  <c:v>8.2068180000000002</c:v>
                </c:pt>
                <c:pt idx="9">
                  <c:v>8.8738849999999996</c:v>
                </c:pt>
                <c:pt idx="10">
                  <c:v>10.232274</c:v>
                </c:pt>
                <c:pt idx="11">
                  <c:v>20.141863000000001</c:v>
                </c:pt>
                <c:pt idx="12">
                  <c:v>32.249535999999999</c:v>
                </c:pt>
                <c:pt idx="13">
                  <c:v>40.678944999999999</c:v>
                </c:pt>
                <c:pt idx="14">
                  <c:v>51.185561</c:v>
                </c:pt>
                <c:pt idx="15">
                  <c:v>63.017823</c:v>
                </c:pt>
                <c:pt idx="16">
                  <c:v>72.733315000000005</c:v>
                </c:pt>
                <c:pt idx="17">
                  <c:v>79.796398999999994</c:v>
                </c:pt>
                <c:pt idx="18">
                  <c:v>82.568743999999995</c:v>
                </c:pt>
                <c:pt idx="19">
                  <c:v>91.642491000000007</c:v>
                </c:pt>
              </c:numCache>
            </c:numRef>
          </c:xVal>
          <c:yVal>
            <c:numRef>
              <c:f>'TREL PLOT'!$F$2:$F$21</c:f>
              <c:numCache>
                <c:formatCode>General</c:formatCode>
                <c:ptCount val="20"/>
                <c:pt idx="0">
                  <c:v>16000</c:v>
                </c:pt>
                <c:pt idx="1">
                  <c:v>16000</c:v>
                </c:pt>
                <c:pt idx="2">
                  <c:v>13894.434999999999</c:v>
                </c:pt>
                <c:pt idx="3">
                  <c:v>2313.2280000000001</c:v>
                </c:pt>
                <c:pt idx="4">
                  <c:v>1179.2380000000001</c:v>
                </c:pt>
                <c:pt idx="5">
                  <c:v>658.12900000000002</c:v>
                </c:pt>
                <c:pt idx="6">
                  <c:v>420.66199999999998</c:v>
                </c:pt>
                <c:pt idx="7">
                  <c:v>130.33000000000001</c:v>
                </c:pt>
                <c:pt idx="8">
                  <c:v>30.505999999999997</c:v>
                </c:pt>
                <c:pt idx="9">
                  <c:v>19.210999999999999</c:v>
                </c:pt>
                <c:pt idx="10">
                  <c:v>6.2570000000000006</c:v>
                </c:pt>
                <c:pt idx="11">
                  <c:v>0.91500000000000004</c:v>
                </c:pt>
                <c:pt idx="12">
                  <c:v>0.32300000000000001</c:v>
                </c:pt>
                <c:pt idx="13">
                  <c:v>0.20900000000000002</c:v>
                </c:pt>
                <c:pt idx="14">
                  <c:v>0.14599999999999999</c:v>
                </c:pt>
                <c:pt idx="15">
                  <c:v>0.122</c:v>
                </c:pt>
                <c:pt idx="16">
                  <c:v>0.10500000000000001</c:v>
                </c:pt>
                <c:pt idx="17">
                  <c:v>9.8000000000000004E-2</c:v>
                </c:pt>
                <c:pt idx="18">
                  <c:v>9.5000000000000001E-2</c:v>
                </c:pt>
                <c:pt idx="19">
                  <c:v>8.6999999999999994E-2</c:v>
                </c:pt>
              </c:numCache>
            </c:numRef>
          </c:yVal>
          <c:smooth val="0"/>
          <c:extLst>
            <c:ext xmlns:c16="http://schemas.microsoft.com/office/drawing/2014/chart" uri="{C3380CC4-5D6E-409C-BE32-E72D297353CC}">
              <c16:uniqueId val="{00000000-2CA5-42ED-8C7F-EB326C3ED0CB}"/>
            </c:ext>
          </c:extLst>
        </c:ser>
        <c:dLbls>
          <c:showLegendKey val="0"/>
          <c:showVal val="0"/>
          <c:showCatName val="0"/>
          <c:showSerName val="0"/>
          <c:showPercent val="0"/>
          <c:showBubbleSize val="0"/>
        </c:dLbls>
        <c:axId val="149707776"/>
        <c:axId val="157029120"/>
        <c:extLst>
          <c:ext xmlns:c15="http://schemas.microsoft.com/office/drawing/2012/chart" uri="{02D57815-91ED-43cb-92C2-25804820EDAC}">
            <c15:filteredScatterSeries>
              <c15:ser>
                <c:idx val="1"/>
                <c:order val="1"/>
                <c:tx>
                  <c:v>Calculated Point</c:v>
                </c:tx>
                <c:dLbls>
                  <c:spPr>
                    <a:solidFill>
                      <a:srgbClr val="FFFF00"/>
                    </a:solidFill>
                    <a:ln>
                      <a:noFill/>
                    </a:ln>
                    <a:effectLst/>
                  </c:spPr>
                  <c:showLegendKey val="0"/>
                  <c:showVal val="1"/>
                  <c:showCatName val="1"/>
                  <c:showSerName val="0"/>
                  <c:showPercent val="0"/>
                  <c:showBubbleSize val="0"/>
                  <c:showLeaderLines val="0"/>
                  <c:extLst>
                    <c:ext uri="{CE6537A1-D6FC-4f65-9D91-7224C49458BB}">
                      <c15:showLeaderLines val="1"/>
                    </c:ext>
                  </c:extLst>
                </c:dLbls>
                <c:xVal>
                  <c:numRef>
                    <c:extLst>
                      <c:ext uri="{02D57815-91ED-43cb-92C2-25804820EDAC}">
                        <c15:formulaRef>
                          <c15:sqref>'TREL PLOT'!$L$25</c15:sqref>
                        </c15:formulaRef>
                      </c:ext>
                    </c:extLst>
                    <c:numCache>
                      <c:formatCode>0.00</c:formatCode>
                      <c:ptCount val="1"/>
                    </c:numCache>
                  </c:numRef>
                </c:xVal>
                <c:yVal>
                  <c:numRef>
                    <c:extLst>
                      <c:ext uri="{02D57815-91ED-43cb-92C2-25804820EDAC}">
                        <c15:formulaRef>
                          <c15:sqref>'TREL PLOT'!$M$25</c15:sqref>
                        </c15:formulaRef>
                      </c:ext>
                    </c:extLst>
                    <c:numCache>
                      <c:formatCode>0.00</c:formatCode>
                      <c:ptCount val="1"/>
                    </c:numCache>
                  </c:numRef>
                </c:yVal>
                <c:smooth val="0"/>
                <c:extLst>
                  <c:ext xmlns:c16="http://schemas.microsoft.com/office/drawing/2014/chart" uri="{C3380CC4-5D6E-409C-BE32-E72D297353CC}">
                    <c16:uniqueId val="{00000004-A2BF-4EF3-BD3E-C8B425160CAA}"/>
                  </c:ext>
                </c:extLst>
              </c15:ser>
            </c15:filteredScatterSeries>
          </c:ext>
        </c:extLst>
      </c:scatterChart>
      <c:valAx>
        <c:axId val="149707776"/>
        <c:scaling>
          <c:orientation val="minMax"/>
        </c:scaling>
        <c:delete val="0"/>
        <c:axPos val="b"/>
        <c:title>
          <c:tx>
            <c:rich>
              <a:bodyPr/>
              <a:lstStyle/>
              <a:p>
                <a:pPr>
                  <a:defRPr/>
                </a:pPr>
                <a:r>
                  <a:rPr lang="en-US"/>
                  <a:t>Power</a:t>
                </a:r>
                <a:r>
                  <a:rPr lang="en-US" baseline="0"/>
                  <a:t> Dissipation During Inrush(W)</a:t>
                </a:r>
                <a:endParaRPr lang="en-US"/>
              </a:p>
            </c:rich>
          </c:tx>
          <c:overlay val="0"/>
        </c:title>
        <c:numFmt formatCode="General" sourceLinked="1"/>
        <c:majorTickMark val="out"/>
        <c:minorTickMark val="none"/>
        <c:tickLblPos val="nextTo"/>
        <c:crossAx val="157029120"/>
        <c:crossesAt val="1.0000000000000003E-5"/>
        <c:crossBetween val="midCat"/>
      </c:valAx>
      <c:valAx>
        <c:axId val="157029120"/>
        <c:scaling>
          <c:logBase val="10"/>
          <c:orientation val="minMax"/>
          <c:max val="100000"/>
          <c:min val="1.0000000000000002E-3"/>
        </c:scaling>
        <c:delete val="0"/>
        <c:axPos val="l"/>
        <c:majorGridlines/>
        <c:title>
          <c:tx>
            <c:rich>
              <a:bodyPr/>
              <a:lstStyle/>
              <a:p>
                <a:pPr>
                  <a:defRPr/>
                </a:pPr>
                <a:r>
                  <a:rPr lang="en-US"/>
                  <a:t>Time</a:t>
                </a:r>
                <a:r>
                  <a:rPr lang="en-US" baseline="0"/>
                  <a:t> To Thermal Shutdwon(ms)</a:t>
                </a:r>
                <a:endParaRPr lang="en-US"/>
              </a:p>
            </c:rich>
          </c:tx>
          <c:layout>
            <c:manualLayout>
              <c:xMode val="edge"/>
              <c:yMode val="edge"/>
              <c:x val="2.7911474473088504E-2"/>
              <c:y val="0.13543813856279552"/>
            </c:manualLayout>
          </c:layout>
          <c:overlay val="0"/>
        </c:title>
        <c:numFmt formatCode="General" sourceLinked="1"/>
        <c:majorTickMark val="out"/>
        <c:minorTickMark val="none"/>
        <c:tickLblPos val="nextTo"/>
        <c:crossAx val="149707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25C</c:v>
          </c:tx>
          <c:xVal>
            <c:numRef>
              <c:f>'TSD PLOT'!$E$4:$E$16</c:f>
              <c:numCache>
                <c:formatCode>General</c:formatCode>
                <c:ptCount val="13"/>
                <c:pt idx="0">
                  <c:v>2.1376979999999999</c:v>
                </c:pt>
                <c:pt idx="1">
                  <c:v>2.1589710000000002</c:v>
                </c:pt>
                <c:pt idx="2">
                  <c:v>2.2572540000000001</c:v>
                </c:pt>
                <c:pt idx="3">
                  <c:v>2.3368220000000002</c:v>
                </c:pt>
                <c:pt idx="4">
                  <c:v>4.5550519999999999</c:v>
                </c:pt>
                <c:pt idx="5">
                  <c:v>4.8378249999999996</c:v>
                </c:pt>
                <c:pt idx="6">
                  <c:v>5.3452330000000003</c:v>
                </c:pt>
                <c:pt idx="7">
                  <c:v>5.8724150000000002</c:v>
                </c:pt>
                <c:pt idx="8">
                  <c:v>6.3085209999999998</c:v>
                </c:pt>
                <c:pt idx="9">
                  <c:v>17.054611000000001</c:v>
                </c:pt>
                <c:pt idx="10">
                  <c:v>18.871649000000001</c:v>
                </c:pt>
                <c:pt idx="11">
                  <c:v>20.611383</c:v>
                </c:pt>
                <c:pt idx="12">
                  <c:v>23.036021999999999</c:v>
                </c:pt>
              </c:numCache>
            </c:numRef>
          </c:xVal>
          <c:yVal>
            <c:numRef>
              <c:f>'TSD PLOT'!$G$4:$G$16</c:f>
              <c:numCache>
                <c:formatCode>General</c:formatCode>
                <c:ptCount val="13"/>
                <c:pt idx="0">
                  <c:v>23021.011000000002</c:v>
                </c:pt>
                <c:pt idx="1">
                  <c:v>19870.804</c:v>
                </c:pt>
                <c:pt idx="2">
                  <c:v>9809.0869999999995</c:v>
                </c:pt>
                <c:pt idx="3">
                  <c:v>7830.7960000000003</c:v>
                </c:pt>
                <c:pt idx="4">
                  <c:v>497.69499999999999</c:v>
                </c:pt>
                <c:pt idx="5">
                  <c:v>375.97399999999999</c:v>
                </c:pt>
                <c:pt idx="6">
                  <c:v>281.928</c:v>
                </c:pt>
                <c:pt idx="7">
                  <c:v>220.768</c:v>
                </c:pt>
                <c:pt idx="8">
                  <c:v>169.96100000000001</c:v>
                </c:pt>
                <c:pt idx="9">
                  <c:v>14.929</c:v>
                </c:pt>
                <c:pt idx="10">
                  <c:v>11.42</c:v>
                </c:pt>
                <c:pt idx="11">
                  <c:v>9.0839999999999996</c:v>
                </c:pt>
                <c:pt idx="12">
                  <c:v>7.226</c:v>
                </c:pt>
              </c:numCache>
            </c:numRef>
          </c:yVal>
          <c:smooth val="0"/>
          <c:extLst>
            <c:ext xmlns:c16="http://schemas.microsoft.com/office/drawing/2014/chart" uri="{C3380CC4-5D6E-409C-BE32-E72D297353CC}">
              <c16:uniqueId val="{00000000-F349-4A00-B305-4348C1754774}"/>
            </c:ext>
          </c:extLst>
        </c:ser>
        <c:ser>
          <c:idx val="1"/>
          <c:order val="1"/>
          <c:tx>
            <c:v>85C</c:v>
          </c:tx>
          <c:xVal>
            <c:numRef>
              <c:f>'TSD PLOT'!$E$21:$E$34</c:f>
              <c:numCache>
                <c:formatCode>General</c:formatCode>
                <c:ptCount val="14"/>
                <c:pt idx="0">
                  <c:v>1.3278490000000001</c:v>
                </c:pt>
                <c:pt idx="1">
                  <c:v>1.345315</c:v>
                </c:pt>
                <c:pt idx="2">
                  <c:v>1.3682460000000001</c:v>
                </c:pt>
                <c:pt idx="3">
                  <c:v>2.1167229999999999</c:v>
                </c:pt>
                <c:pt idx="4">
                  <c:v>2.1513749999999998</c:v>
                </c:pt>
                <c:pt idx="5">
                  <c:v>2.597</c:v>
                </c:pt>
                <c:pt idx="6">
                  <c:v>4.8429399999999996</c:v>
                </c:pt>
                <c:pt idx="7">
                  <c:v>5.3878149999999998</c:v>
                </c:pt>
                <c:pt idx="8">
                  <c:v>5.8753190000000002</c:v>
                </c:pt>
                <c:pt idx="9">
                  <c:v>6.403435</c:v>
                </c:pt>
                <c:pt idx="10">
                  <c:v>16.844407</c:v>
                </c:pt>
                <c:pt idx="11">
                  <c:v>18.913537000000002</c:v>
                </c:pt>
                <c:pt idx="12">
                  <c:v>21.181204999999999</c:v>
                </c:pt>
                <c:pt idx="13">
                  <c:v>23.257106</c:v>
                </c:pt>
              </c:numCache>
            </c:numRef>
          </c:xVal>
          <c:yVal>
            <c:numRef>
              <c:f>'TSD PLOT'!$G$21:$G$34</c:f>
              <c:numCache>
                <c:formatCode>General</c:formatCode>
                <c:ptCount val="14"/>
                <c:pt idx="0">
                  <c:v>20761.421999999999</c:v>
                </c:pt>
                <c:pt idx="1">
                  <c:v>14738.652999999998</c:v>
                </c:pt>
                <c:pt idx="2">
                  <c:v>11355.892000000002</c:v>
                </c:pt>
                <c:pt idx="3">
                  <c:v>780.52</c:v>
                </c:pt>
                <c:pt idx="4">
                  <c:v>750.42699999999991</c:v>
                </c:pt>
                <c:pt idx="5">
                  <c:v>405.90500000000003</c:v>
                </c:pt>
                <c:pt idx="6">
                  <c:v>73.719000000000008</c:v>
                </c:pt>
                <c:pt idx="7">
                  <c:v>56.152999999999999</c:v>
                </c:pt>
                <c:pt idx="8">
                  <c:v>43.491</c:v>
                </c:pt>
                <c:pt idx="9">
                  <c:v>34.577999999999996</c:v>
                </c:pt>
                <c:pt idx="10">
                  <c:v>3.718</c:v>
                </c:pt>
                <c:pt idx="11">
                  <c:v>2.879</c:v>
                </c:pt>
                <c:pt idx="12">
                  <c:v>2.2850000000000001</c:v>
                </c:pt>
                <c:pt idx="13">
                  <c:v>1.6759999999999999</c:v>
                </c:pt>
              </c:numCache>
            </c:numRef>
          </c:yVal>
          <c:smooth val="0"/>
          <c:extLst>
            <c:ext xmlns:c16="http://schemas.microsoft.com/office/drawing/2014/chart" uri="{C3380CC4-5D6E-409C-BE32-E72D297353CC}">
              <c16:uniqueId val="{00000001-F349-4A00-B305-4348C1754774}"/>
            </c:ext>
          </c:extLst>
        </c:ser>
        <c:ser>
          <c:idx val="2"/>
          <c:order val="2"/>
          <c:tx>
            <c:v>125C</c:v>
          </c:tx>
          <c:xVal>
            <c:numRef>
              <c:f>'TSD PLOT'!$E$36:$E$48</c:f>
              <c:numCache>
                <c:formatCode>General</c:formatCode>
                <c:ptCount val="13"/>
                <c:pt idx="0">
                  <c:v>1.0391170000000001</c:v>
                </c:pt>
                <c:pt idx="1">
                  <c:v>1.1385240000000001</c:v>
                </c:pt>
                <c:pt idx="2">
                  <c:v>1.253053</c:v>
                </c:pt>
                <c:pt idx="3">
                  <c:v>1.37079</c:v>
                </c:pt>
                <c:pt idx="4">
                  <c:v>4.087796</c:v>
                </c:pt>
                <c:pt idx="5">
                  <c:v>4.6233829999999996</c:v>
                </c:pt>
                <c:pt idx="6">
                  <c:v>5.023212</c:v>
                </c:pt>
                <c:pt idx="7">
                  <c:v>5.5319539999999998</c:v>
                </c:pt>
                <c:pt idx="8">
                  <c:v>6.1079949999999998</c:v>
                </c:pt>
                <c:pt idx="9">
                  <c:v>16.830774000000002</c:v>
                </c:pt>
                <c:pt idx="10">
                  <c:v>18.476970999999999</c:v>
                </c:pt>
                <c:pt idx="11">
                  <c:v>21.184594000000001</c:v>
                </c:pt>
                <c:pt idx="12">
                  <c:v>23.563647</c:v>
                </c:pt>
              </c:numCache>
            </c:numRef>
          </c:xVal>
          <c:yVal>
            <c:numRef>
              <c:f>'TSD PLOT'!$G$36:$G$48</c:f>
              <c:numCache>
                <c:formatCode>General</c:formatCode>
                <c:ptCount val="13"/>
                <c:pt idx="0">
                  <c:v>782.36500000000001</c:v>
                </c:pt>
                <c:pt idx="1">
                  <c:v>583.23</c:v>
                </c:pt>
                <c:pt idx="2">
                  <c:v>441.81299999999999</c:v>
                </c:pt>
                <c:pt idx="3">
                  <c:v>344.15600000000001</c:v>
                </c:pt>
                <c:pt idx="4">
                  <c:v>12.623000000000001</c:v>
                </c:pt>
                <c:pt idx="5">
                  <c:v>10.184000000000001</c:v>
                </c:pt>
                <c:pt idx="6">
                  <c:v>8.0069999999999997</c:v>
                </c:pt>
                <c:pt idx="7">
                  <c:v>6.375</c:v>
                </c:pt>
                <c:pt idx="8">
                  <c:v>5.1479999999999997</c:v>
                </c:pt>
                <c:pt idx="9">
                  <c:v>0.625</c:v>
                </c:pt>
                <c:pt idx="10">
                  <c:v>0.501</c:v>
                </c:pt>
                <c:pt idx="11">
                  <c:v>0.40400000000000003</c:v>
                </c:pt>
                <c:pt idx="12">
                  <c:v>0.34900000000000003</c:v>
                </c:pt>
              </c:numCache>
            </c:numRef>
          </c:yVal>
          <c:smooth val="0"/>
          <c:extLst>
            <c:ext xmlns:c16="http://schemas.microsoft.com/office/drawing/2014/chart" uri="{C3380CC4-5D6E-409C-BE32-E72D297353CC}">
              <c16:uniqueId val="{00000002-F349-4A00-B305-4348C1754774}"/>
            </c:ext>
          </c:extLst>
        </c:ser>
        <c:ser>
          <c:idx val="3"/>
          <c:order val="3"/>
          <c:tx>
            <c:v>-40C</c:v>
          </c:tx>
          <c:xVal>
            <c:numRef>
              <c:f>'TSD PLOT'!$E$55:$E$63</c:f>
              <c:numCache>
                <c:formatCode>General</c:formatCode>
                <c:ptCount val="9"/>
                <c:pt idx="0">
                  <c:v>4.5018440000000002</c:v>
                </c:pt>
                <c:pt idx="1">
                  <c:v>4.8419489999999996</c:v>
                </c:pt>
                <c:pt idx="2">
                  <c:v>5.2583929999999999</c:v>
                </c:pt>
                <c:pt idx="3">
                  <c:v>5.9441639999999998</c:v>
                </c:pt>
                <c:pt idx="4">
                  <c:v>6.4502550000000003</c:v>
                </c:pt>
                <c:pt idx="5">
                  <c:v>14.795442</c:v>
                </c:pt>
                <c:pt idx="6">
                  <c:v>18.052776999999999</c:v>
                </c:pt>
                <c:pt idx="7">
                  <c:v>19.983069</c:v>
                </c:pt>
                <c:pt idx="8">
                  <c:v>22.382984</c:v>
                </c:pt>
              </c:numCache>
            </c:numRef>
          </c:xVal>
          <c:yVal>
            <c:numRef>
              <c:f>'TSD PLOT'!$G$55:$G$63</c:f>
              <c:numCache>
                <c:formatCode>General</c:formatCode>
                <c:ptCount val="9"/>
                <c:pt idx="0">
                  <c:v>2031.0100000000002</c:v>
                </c:pt>
                <c:pt idx="1">
                  <c:v>1365.979</c:v>
                </c:pt>
                <c:pt idx="2">
                  <c:v>936.73500000000001</c:v>
                </c:pt>
                <c:pt idx="3">
                  <c:v>673.94799999999998</c:v>
                </c:pt>
                <c:pt idx="4">
                  <c:v>505.13200000000001</c:v>
                </c:pt>
                <c:pt idx="5">
                  <c:v>36.134</c:v>
                </c:pt>
                <c:pt idx="6">
                  <c:v>28.509</c:v>
                </c:pt>
                <c:pt idx="7">
                  <c:v>22.233000000000001</c:v>
                </c:pt>
                <c:pt idx="8">
                  <c:v>17.659000000000002</c:v>
                </c:pt>
              </c:numCache>
            </c:numRef>
          </c:yVal>
          <c:smooth val="0"/>
          <c:extLst>
            <c:ext xmlns:c16="http://schemas.microsoft.com/office/drawing/2014/chart" uri="{C3380CC4-5D6E-409C-BE32-E72D297353CC}">
              <c16:uniqueId val="{00000003-F349-4A00-B305-4348C1754774}"/>
            </c:ext>
          </c:extLst>
        </c:ser>
        <c:dLbls>
          <c:showLegendKey val="0"/>
          <c:showVal val="0"/>
          <c:showCatName val="0"/>
          <c:showSerName val="0"/>
          <c:showPercent val="0"/>
          <c:showBubbleSize val="0"/>
        </c:dLbls>
        <c:axId val="158936448"/>
        <c:axId val="158942336"/>
      </c:scatterChart>
      <c:valAx>
        <c:axId val="158936448"/>
        <c:scaling>
          <c:orientation val="minMax"/>
        </c:scaling>
        <c:delete val="0"/>
        <c:axPos val="b"/>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Power Dissipation During Steady State(W)</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layout>
            <c:manualLayout>
              <c:xMode val="edge"/>
              <c:yMode val="edge"/>
              <c:x val="0.15432543469730561"/>
              <c:y val="0.908862472622325"/>
            </c:manualLayout>
          </c:layout>
          <c:overlay val="0"/>
        </c:title>
        <c:numFmt formatCode="General" sourceLinked="1"/>
        <c:majorTickMark val="out"/>
        <c:minorTickMark val="none"/>
        <c:tickLblPos val="nextTo"/>
        <c:crossAx val="158942336"/>
        <c:crossesAt val="1.0000000000000003E-4"/>
        <c:crossBetween val="midCat"/>
      </c:valAx>
      <c:valAx>
        <c:axId val="158942336"/>
        <c:scaling>
          <c:logBase val="10"/>
          <c:orientation val="minMax"/>
          <c:max val="100000"/>
          <c:min val="1.0000000000000003E-4"/>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en-US" sz="1800" b="1" i="0" baseline="0">
                    <a:effectLst/>
                  </a:rPr>
                  <a:t>Time To Thermal Shutdwon(ms)</a:t>
                </a:r>
                <a:endParaRPr lang="en-US">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en-US"/>
              </a:p>
            </c:rich>
          </c:tx>
          <c:overlay val="0"/>
        </c:title>
        <c:numFmt formatCode="General" sourceLinked="1"/>
        <c:majorTickMark val="out"/>
        <c:minorTickMark val="none"/>
        <c:tickLblPos val="nextTo"/>
        <c:crossAx val="1589364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6</xdr:col>
      <xdr:colOff>861013</xdr:colOff>
      <xdr:row>40</xdr:row>
      <xdr:rowOff>178244</xdr:rowOff>
    </xdr:from>
    <xdr:to>
      <xdr:col>14</xdr:col>
      <xdr:colOff>1069472</xdr:colOff>
      <xdr:row>53</xdr:row>
      <xdr:rowOff>245088</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482894</xdr:colOff>
      <xdr:row>25</xdr:row>
      <xdr:rowOff>178246</xdr:rowOff>
    </xdr:from>
    <xdr:to>
      <xdr:col>14</xdr:col>
      <xdr:colOff>1448248</xdr:colOff>
      <xdr:row>36</xdr:row>
      <xdr:rowOff>100263</xdr:rowOff>
    </xdr:to>
    <xdr:graphicFrame macro="">
      <xdr:nvGraphicFramePr>
        <xdr:cNvPr id="4" name="Chart 3">
          <a:extLst>
            <a:ext uri="{FF2B5EF4-FFF2-40B4-BE49-F238E27FC236}">
              <a16:creationId xmlns:a16="http://schemas.microsoft.com/office/drawing/2014/main" id="{5E5ADA76-DB34-4668-AB23-E0A6FF0311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189386</xdr:colOff>
      <xdr:row>56</xdr:row>
      <xdr:rowOff>89123</xdr:rowOff>
    </xdr:from>
    <xdr:to>
      <xdr:col>14</xdr:col>
      <xdr:colOff>1526227</xdr:colOff>
      <xdr:row>70</xdr:row>
      <xdr:rowOff>211663</xdr:rowOff>
    </xdr:to>
    <xdr:graphicFrame macro="">
      <xdr:nvGraphicFramePr>
        <xdr:cNvPr id="6" name="Chart 5">
          <a:extLst>
            <a:ext uri="{FF2B5EF4-FFF2-40B4-BE49-F238E27FC236}">
              <a16:creationId xmlns:a16="http://schemas.microsoft.com/office/drawing/2014/main" id="{3D4344D3-683E-4097-A513-DFC2E21CE5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623019</xdr:colOff>
      <xdr:row>2</xdr:row>
      <xdr:rowOff>119812</xdr:rowOff>
    </xdr:from>
    <xdr:to>
      <xdr:col>14</xdr:col>
      <xdr:colOff>466272</xdr:colOff>
      <xdr:row>20</xdr:row>
      <xdr:rowOff>178351</xdr:rowOff>
    </xdr:to>
    <xdr:pic>
      <xdr:nvPicPr>
        <xdr:cNvPr id="7" name="Picture 6">
          <a:extLst>
            <a:ext uri="{FF2B5EF4-FFF2-40B4-BE49-F238E27FC236}">
              <a16:creationId xmlns:a16="http://schemas.microsoft.com/office/drawing/2014/main" id="{F69CF1F9-C43F-45CA-A305-17366AFFFCFD}"/>
            </a:ext>
          </a:extLst>
        </xdr:cNvPr>
        <xdr:cNvPicPr>
          <a:picLocks noChangeAspect="1"/>
        </xdr:cNvPicPr>
      </xdr:nvPicPr>
      <xdr:blipFill>
        <a:blip xmlns:r="http://schemas.openxmlformats.org/officeDocument/2006/relationships" r:embed="rId4"/>
        <a:stretch>
          <a:fillRect/>
        </a:stretch>
      </xdr:blipFill>
      <xdr:spPr>
        <a:xfrm>
          <a:off x="12041038" y="611038"/>
          <a:ext cx="6504762" cy="4695238"/>
        </a:xfrm>
        <a:prstGeom prst="rect">
          <a:avLst/>
        </a:prstGeom>
        <a:ln w="53975">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552776</xdr:colOff>
      <xdr:row>1</xdr:row>
      <xdr:rowOff>128571</xdr:rowOff>
    </xdr:from>
    <xdr:to>
      <xdr:col>16</xdr:col>
      <xdr:colOff>78557</xdr:colOff>
      <xdr:row>15</xdr:row>
      <xdr:rowOff>176752</xdr:rowOff>
    </xdr:to>
    <xdr:graphicFrame macro="">
      <xdr:nvGraphicFramePr>
        <xdr:cNvPr id="2" name="Chart 1">
          <a:extLst>
            <a:ext uri="{FF2B5EF4-FFF2-40B4-BE49-F238E27FC236}">
              <a16:creationId xmlns:a16="http://schemas.microsoft.com/office/drawing/2014/main" id="{1E09ED50-F0E6-475F-B381-D7929D922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317501</xdr:colOff>
      <xdr:row>7</xdr:row>
      <xdr:rowOff>30238</xdr:rowOff>
    </xdr:from>
    <xdr:to>
      <xdr:col>16</xdr:col>
      <xdr:colOff>278190</xdr:colOff>
      <xdr:row>41</xdr:row>
      <xdr:rowOff>18143</xdr:rowOff>
    </xdr:to>
    <xdr:graphicFrame macro="">
      <xdr:nvGraphicFramePr>
        <xdr:cNvPr id="2" name="Chart 1">
          <a:extLst>
            <a:ext uri="{FF2B5EF4-FFF2-40B4-BE49-F238E27FC236}">
              <a16:creationId xmlns:a16="http://schemas.microsoft.com/office/drawing/2014/main" id="{B7F5140C-3724-47EB-A08F-04F07EA85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0489230\AppData\Local\Microsoft\Windows\INetCache\Content.Outlook\28MMKXKT\TPS25982xx_Design_Calculator_Re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ation Sheet"/>
      <sheetName val="TSD Plot-22x23x24x Variants"/>
      <sheetName val="TSD Plot-27x Variant"/>
      <sheetName val="Res EIA Tables"/>
      <sheetName val="Cap Tables"/>
      <sheetName val="Nretry"/>
    </sheetNames>
    <sheetDataSet>
      <sheetData sheetId="0" refreshError="1">
        <row r="6">
          <cell r="D6">
            <v>12</v>
          </cell>
        </row>
        <row r="17">
          <cell r="D17">
            <v>2000</v>
          </cell>
        </row>
        <row r="19">
          <cell r="D19">
            <v>100</v>
          </cell>
        </row>
        <row r="20">
          <cell r="D20">
            <v>1024</v>
          </cell>
        </row>
        <row r="22">
          <cell r="D22">
            <v>55</v>
          </cell>
        </row>
        <row r="24">
          <cell r="D24">
            <v>3.3</v>
          </cell>
        </row>
        <row r="38">
          <cell r="D38">
            <v>105</v>
          </cell>
        </row>
        <row r="39">
          <cell r="G39">
            <v>12.851927821366191</v>
          </cell>
        </row>
        <row r="44">
          <cell r="D44">
            <v>953</v>
          </cell>
        </row>
        <row r="84">
          <cell r="H84">
            <v>852.994555353902</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fcafe.com/references/electrical/capacitor-values.ht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S128"/>
  <sheetViews>
    <sheetView showGridLines="0" tabSelected="1" zoomScaleNormal="100" workbookViewId="0">
      <selection activeCell="D81" sqref="D81"/>
    </sheetView>
  </sheetViews>
  <sheetFormatPr defaultColWidth="9.140625" defaultRowHeight="18" customHeight="1" x14ac:dyDescent="0.25"/>
  <cols>
    <col min="1" max="1" width="2.42578125" style="17" customWidth="1"/>
    <col min="2" max="2" width="26.42578125" style="17" customWidth="1"/>
    <col min="3" max="3" width="64.140625" style="32" customWidth="1"/>
    <col min="4" max="4" width="17.42578125" style="18" customWidth="1"/>
    <col min="5" max="5" width="7.85546875" style="17" bestFit="1" customWidth="1"/>
    <col min="6" max="6" width="9.140625" style="19" bestFit="1" customWidth="1"/>
    <col min="7" max="7" width="15.5703125" style="24" customWidth="1"/>
    <col min="8" max="8" width="9.140625" style="17"/>
    <col min="9" max="9" width="11.5703125" style="17" bestFit="1" customWidth="1"/>
    <col min="10" max="10" width="36.140625" style="17" bestFit="1" customWidth="1"/>
    <col min="11" max="11" width="24.140625" style="17" customWidth="1"/>
    <col min="12" max="12" width="12.85546875" style="17" customWidth="1"/>
    <col min="13" max="13" width="6.5703125" style="17" customWidth="1"/>
    <col min="14" max="14" width="15.85546875" style="17" customWidth="1"/>
    <col min="15" max="15" width="36.140625" style="17" bestFit="1" customWidth="1"/>
    <col min="16" max="16" width="15.5703125" style="17" customWidth="1"/>
    <col min="17" max="17" width="34.85546875" style="17" customWidth="1"/>
    <col min="18" max="20" width="31" style="17" customWidth="1"/>
    <col min="21" max="21" width="27.42578125" style="19" customWidth="1"/>
    <col min="22" max="22" width="14.42578125" style="19" bestFit="1" customWidth="1"/>
    <col min="23" max="23" width="9.140625" style="17"/>
    <col min="24" max="24" width="19.7109375" style="17" customWidth="1"/>
    <col min="25" max="25" width="28.42578125" style="17" customWidth="1"/>
    <col min="26" max="26" width="16.85546875" style="17" customWidth="1"/>
    <col min="27" max="27" width="22" style="17" customWidth="1"/>
    <col min="28" max="16384" width="9.140625" style="17"/>
  </cols>
  <sheetData>
    <row r="1" spans="2:25" ht="18" customHeight="1" x14ac:dyDescent="0.25">
      <c r="B1" s="254" t="s">
        <v>237</v>
      </c>
      <c r="C1" s="255"/>
      <c r="D1" s="255"/>
      <c r="E1" s="255"/>
      <c r="F1" s="255"/>
      <c r="G1" s="255"/>
      <c r="N1"/>
      <c r="O1"/>
      <c r="P1"/>
    </row>
    <row r="2" spans="2:25" ht="21" x14ac:dyDescent="0.25">
      <c r="B2" s="48"/>
      <c r="C2" s="48"/>
      <c r="N2"/>
      <c r="O2"/>
      <c r="P2" s="270" t="s">
        <v>170</v>
      </c>
      <c r="Q2" s="270"/>
      <c r="R2" s="270"/>
      <c r="S2" s="270"/>
      <c r="T2" s="271"/>
      <c r="U2" s="271"/>
    </row>
    <row r="3" spans="2:25" ht="27.95" customHeight="1" x14ac:dyDescent="0.25">
      <c r="B3" s="85"/>
      <c r="C3" s="50" t="s">
        <v>30</v>
      </c>
      <c r="N3"/>
      <c r="O3"/>
      <c r="P3" s="160" t="s">
        <v>171</v>
      </c>
      <c r="Q3" s="160" t="s">
        <v>172</v>
      </c>
      <c r="R3" s="160" t="s">
        <v>176</v>
      </c>
      <c r="S3" s="253" t="s">
        <v>173</v>
      </c>
      <c r="T3" s="253" t="s">
        <v>229</v>
      </c>
      <c r="U3" s="253" t="s">
        <v>230</v>
      </c>
      <c r="W3" s="17">
        <v>3.8</v>
      </c>
      <c r="X3" s="17">
        <v>5.7</v>
      </c>
      <c r="Y3" s="17">
        <v>13.8</v>
      </c>
    </row>
    <row r="4" spans="2:25" ht="25.5" customHeight="1" x14ac:dyDescent="0.25">
      <c r="B4" s="31"/>
      <c r="C4" s="47" t="s">
        <v>31</v>
      </c>
      <c r="N4"/>
      <c r="O4"/>
      <c r="P4" s="161" t="s">
        <v>225</v>
      </c>
      <c r="Q4" s="162" t="s">
        <v>175</v>
      </c>
      <c r="R4" s="162" t="s">
        <v>177</v>
      </c>
      <c r="S4" s="162" t="s">
        <v>178</v>
      </c>
      <c r="T4" s="162" t="s">
        <v>233</v>
      </c>
      <c r="U4" s="162" t="s">
        <v>130</v>
      </c>
      <c r="W4" s="17" t="s">
        <v>198</v>
      </c>
      <c r="X4" s="17" t="s">
        <v>199</v>
      </c>
      <c r="Y4" s="17">
        <v>390</v>
      </c>
    </row>
    <row r="5" spans="2:25" ht="26.45" customHeight="1" x14ac:dyDescent="0.25">
      <c r="B5" s="20"/>
      <c r="C5" s="51" t="s">
        <v>32</v>
      </c>
      <c r="N5"/>
      <c r="O5"/>
      <c r="P5" s="163" t="s">
        <v>226</v>
      </c>
      <c r="Q5" s="162" t="s">
        <v>175</v>
      </c>
      <c r="R5" s="162" t="s">
        <v>177</v>
      </c>
      <c r="S5" s="164" t="s">
        <v>174</v>
      </c>
      <c r="T5" s="164" t="s">
        <v>233</v>
      </c>
      <c r="U5" s="162" t="s">
        <v>130</v>
      </c>
    </row>
    <row r="6" spans="2:25" ht="23.45" customHeight="1" x14ac:dyDescent="0.25">
      <c r="B6" s="33"/>
      <c r="C6" s="47" t="s">
        <v>68</v>
      </c>
      <c r="D6" s="49"/>
      <c r="G6" s="49"/>
      <c r="M6" s="101"/>
      <c r="N6"/>
      <c r="O6"/>
      <c r="P6" s="163" t="s">
        <v>232</v>
      </c>
      <c r="Q6" s="162" t="s">
        <v>175</v>
      </c>
      <c r="R6" s="162" t="s">
        <v>177</v>
      </c>
      <c r="S6" s="162" t="s">
        <v>178</v>
      </c>
      <c r="T6" s="164" t="s">
        <v>234</v>
      </c>
      <c r="U6" s="164" t="s">
        <v>235</v>
      </c>
      <c r="W6" s="102"/>
    </row>
    <row r="7" spans="2:25" ht="24" customHeight="1" x14ac:dyDescent="0.25">
      <c r="B7" s="45"/>
      <c r="C7" s="52" t="s">
        <v>92</v>
      </c>
      <c r="G7" s="49"/>
      <c r="M7" s="103"/>
      <c r="N7" s="102"/>
      <c r="O7" s="19"/>
      <c r="P7" s="163" t="s">
        <v>231</v>
      </c>
      <c r="Q7" s="162" t="s">
        <v>175</v>
      </c>
      <c r="R7" s="162" t="s">
        <v>177</v>
      </c>
      <c r="S7" s="164" t="s">
        <v>174</v>
      </c>
      <c r="T7" s="164" t="s">
        <v>234</v>
      </c>
      <c r="U7" s="164" t="s">
        <v>235</v>
      </c>
      <c r="W7" s="19"/>
    </row>
    <row r="8" spans="2:25" ht="18" customHeight="1" thickBot="1" x14ac:dyDescent="0.3">
      <c r="B8" s="38"/>
      <c r="C8" s="39"/>
      <c r="D8" s="40"/>
      <c r="E8" s="41"/>
      <c r="F8" s="42"/>
      <c r="G8" s="37"/>
      <c r="M8" s="103"/>
      <c r="N8" s="102"/>
      <c r="O8" s="19"/>
      <c r="P8"/>
      <c r="Q8"/>
      <c r="R8"/>
      <c r="S8"/>
      <c r="T8"/>
      <c r="U8"/>
      <c r="W8" s="19"/>
    </row>
    <row r="9" spans="2:25" ht="30.75" thickBot="1" x14ac:dyDescent="0.3">
      <c r="B9" s="59" t="s">
        <v>0</v>
      </c>
      <c r="C9" s="60" t="s">
        <v>1</v>
      </c>
      <c r="D9" s="97" t="s">
        <v>2</v>
      </c>
      <c r="E9" s="98" t="s">
        <v>3</v>
      </c>
      <c r="F9" s="61" t="s">
        <v>50</v>
      </c>
      <c r="G9" s="130" t="s">
        <v>121</v>
      </c>
      <c r="M9" s="104"/>
      <c r="N9" s="102"/>
      <c r="O9" s="19"/>
      <c r="P9"/>
      <c r="Q9"/>
      <c r="R9"/>
      <c r="S9"/>
      <c r="T9"/>
      <c r="U9"/>
      <c r="W9" s="19"/>
    </row>
    <row r="10" spans="2:25" ht="30.95" customHeight="1" x14ac:dyDescent="0.25">
      <c r="B10" s="165" t="s">
        <v>179</v>
      </c>
      <c r="C10" s="209" t="s">
        <v>236</v>
      </c>
      <c r="D10" s="167" t="s">
        <v>232</v>
      </c>
      <c r="E10" s="62"/>
      <c r="F10" s="168"/>
      <c r="P10"/>
      <c r="Q10"/>
      <c r="R10"/>
      <c r="S10"/>
      <c r="T10"/>
      <c r="U10"/>
      <c r="W10" s="19"/>
    </row>
    <row r="11" spans="2:25" ht="30.95" hidden="1" customHeight="1" x14ac:dyDescent="0.25">
      <c r="B11" s="71" t="s">
        <v>72</v>
      </c>
      <c r="C11" s="73" t="s">
        <v>102</v>
      </c>
      <c r="D11" s="134">
        <v>12</v>
      </c>
      <c r="E11" s="21" t="s">
        <v>6</v>
      </c>
      <c r="F11" s="27"/>
      <c r="P11"/>
      <c r="Q11"/>
      <c r="R11"/>
      <c r="S11"/>
      <c r="T11"/>
      <c r="U11"/>
      <c r="W11" s="19"/>
    </row>
    <row r="12" spans="2:25" ht="38.450000000000003" customHeight="1" x14ac:dyDescent="0.25">
      <c r="B12" s="71" t="s">
        <v>72</v>
      </c>
      <c r="C12" s="73" t="s">
        <v>102</v>
      </c>
      <c r="D12" s="134">
        <v>14.8</v>
      </c>
      <c r="E12" s="21" t="s">
        <v>6</v>
      </c>
      <c r="F12" s="27"/>
      <c r="P12"/>
      <c r="Q12"/>
      <c r="R12"/>
      <c r="S12"/>
      <c r="T12"/>
      <c r="U12"/>
      <c r="W12" s="19"/>
    </row>
    <row r="13" spans="2:25" ht="19.5" hidden="1" customHeight="1" x14ac:dyDescent="0.25">
      <c r="B13" s="71" t="s">
        <v>182</v>
      </c>
      <c r="C13" s="73" t="s">
        <v>183</v>
      </c>
      <c r="D13" s="134">
        <v>13.8</v>
      </c>
      <c r="E13" s="22" t="s">
        <v>6</v>
      </c>
      <c r="F13" s="89">
        <v>3.5000000000000003E-2</v>
      </c>
      <c r="P13"/>
      <c r="Q13"/>
      <c r="R13"/>
      <c r="S13"/>
      <c r="T13"/>
      <c r="U13"/>
      <c r="W13" s="19"/>
    </row>
    <row r="14" spans="2:25" ht="50.1" hidden="1" customHeight="1" x14ac:dyDescent="0.25">
      <c r="B14" s="71" t="s">
        <v>180</v>
      </c>
      <c r="C14" s="73" t="s">
        <v>181</v>
      </c>
      <c r="D14" s="169">
        <f>IF(D10=P4,D12, IF(D10=P5,D12, IF(D10=P6,D11, IF(D10=P7,D11,IF(D10=P8,D12,D12)))))</f>
        <v>12</v>
      </c>
      <c r="E14" s="21" t="s">
        <v>6</v>
      </c>
      <c r="F14" s="27"/>
      <c r="P14"/>
      <c r="Q14"/>
      <c r="R14"/>
      <c r="S14"/>
      <c r="T14"/>
      <c r="U14"/>
      <c r="W14" s="19"/>
    </row>
    <row r="15" spans="2:25" ht="25.5" customHeight="1" x14ac:dyDescent="0.25">
      <c r="B15" s="71" t="s">
        <v>103</v>
      </c>
      <c r="C15" s="73" t="s">
        <v>104</v>
      </c>
      <c r="D15" s="134">
        <v>16.8</v>
      </c>
      <c r="E15" s="22" t="s">
        <v>6</v>
      </c>
      <c r="F15" s="89">
        <v>0.03</v>
      </c>
      <c r="I15"/>
      <c r="J15"/>
      <c r="K15"/>
      <c r="L15"/>
      <c r="M15" s="104"/>
      <c r="N15" s="42"/>
      <c r="O15" s="42"/>
      <c r="P15"/>
      <c r="Q15"/>
      <c r="R15"/>
      <c r="S15"/>
      <c r="T15"/>
      <c r="U15"/>
      <c r="W15" s="19"/>
    </row>
    <row r="16" spans="2:25" ht="15.75" x14ac:dyDescent="0.25">
      <c r="B16" s="71" t="s">
        <v>122</v>
      </c>
      <c r="C16" s="73" t="s">
        <v>105</v>
      </c>
      <c r="D16" s="134">
        <v>6.25</v>
      </c>
      <c r="E16" s="21" t="s">
        <v>6</v>
      </c>
      <c r="F16" s="89">
        <v>0.03</v>
      </c>
      <c r="M16" s="107"/>
      <c r="U16" s="108"/>
      <c r="V16" s="108"/>
      <c r="W16" s="19"/>
    </row>
    <row r="17" spans="2:23" ht="34.35" customHeight="1" x14ac:dyDescent="0.25">
      <c r="B17" s="71" t="s">
        <v>93</v>
      </c>
      <c r="C17" s="93" t="s">
        <v>94</v>
      </c>
      <c r="D17" s="135">
        <v>2.5299999999999998</v>
      </c>
      <c r="E17" s="21" t="s">
        <v>6</v>
      </c>
      <c r="F17" s="89">
        <v>0.03</v>
      </c>
      <c r="G17" s="124"/>
      <c r="M17" s="106"/>
      <c r="N17" s="104"/>
      <c r="O17" s="105"/>
      <c r="P17" s="104"/>
      <c r="Q17" s="104"/>
      <c r="R17" s="104"/>
      <c r="S17" s="104"/>
      <c r="T17" s="104"/>
      <c r="U17" s="42"/>
      <c r="V17" s="42"/>
      <c r="W17" s="19"/>
    </row>
    <row r="18" spans="2:23" ht="18" customHeight="1" x14ac:dyDescent="0.25">
      <c r="B18" s="71" t="s">
        <v>9</v>
      </c>
      <c r="C18" s="73" t="s">
        <v>10</v>
      </c>
      <c r="D18" s="119">
        <v>9.4</v>
      </c>
      <c r="E18" s="21" t="s">
        <v>11</v>
      </c>
      <c r="F18" s="99">
        <v>0.1</v>
      </c>
      <c r="G18" s="124"/>
      <c r="M18" s="107"/>
      <c r="N18" s="103"/>
      <c r="O18" s="103"/>
      <c r="P18" s="103"/>
      <c r="Q18" s="105"/>
      <c r="R18" s="105"/>
      <c r="S18" s="105"/>
      <c r="T18" s="105"/>
      <c r="U18" s="108"/>
      <c r="V18" s="108"/>
      <c r="W18" s="19"/>
    </row>
    <row r="19" spans="2:23" ht="15" x14ac:dyDescent="0.25">
      <c r="B19" s="71" t="s">
        <v>35</v>
      </c>
      <c r="C19" s="143" t="s">
        <v>124</v>
      </c>
      <c r="D19" s="119">
        <v>100</v>
      </c>
      <c r="E19" s="21" t="s">
        <v>36</v>
      </c>
      <c r="F19" s="27"/>
      <c r="G19" s="131">
        <f>Vcc_max/Imax</f>
        <v>60</v>
      </c>
      <c r="M19" s="106"/>
      <c r="N19" s="104"/>
      <c r="O19" s="104"/>
      <c r="P19" s="104"/>
      <c r="Q19" s="104"/>
      <c r="R19" s="104"/>
      <c r="S19" s="104"/>
      <c r="T19" s="104"/>
      <c r="U19" s="42"/>
      <c r="V19" s="42"/>
      <c r="W19" s="19"/>
    </row>
    <row r="20" spans="2:23" ht="15" x14ac:dyDescent="0.25">
      <c r="B20" s="71" t="s">
        <v>155</v>
      </c>
      <c r="C20" s="143" t="s">
        <v>154</v>
      </c>
      <c r="D20" s="152">
        <v>5.5</v>
      </c>
      <c r="E20" s="21" t="s">
        <v>6</v>
      </c>
      <c r="F20" s="27"/>
      <c r="G20"/>
      <c r="M20" s="106"/>
      <c r="N20" s="104"/>
      <c r="O20" s="104"/>
      <c r="P20" s="104"/>
      <c r="Q20" s="104"/>
      <c r="R20" s="104"/>
      <c r="S20" s="104"/>
      <c r="T20" s="104"/>
      <c r="U20" s="42"/>
      <c r="V20" s="42"/>
      <c r="W20" s="19"/>
    </row>
    <row r="21" spans="2:23" ht="18" customHeight="1" x14ac:dyDescent="0.25">
      <c r="B21" s="71" t="s">
        <v>12</v>
      </c>
      <c r="C21" s="73" t="s">
        <v>13</v>
      </c>
      <c r="D21" s="134">
        <v>0.2</v>
      </c>
      <c r="E21" s="21" t="s">
        <v>4</v>
      </c>
      <c r="F21" s="27"/>
      <c r="G21" s="124"/>
      <c r="M21" s="107"/>
      <c r="N21" s="103"/>
      <c r="O21" s="103"/>
      <c r="P21" s="103"/>
      <c r="Q21" s="103"/>
      <c r="R21" s="103"/>
      <c r="S21" s="103"/>
      <c r="T21" s="103"/>
      <c r="U21" s="108"/>
      <c r="V21" s="108"/>
      <c r="W21" s="19"/>
    </row>
    <row r="22" spans="2:23" ht="18" customHeight="1" x14ac:dyDescent="0.25">
      <c r="B22" s="71" t="s">
        <v>184</v>
      </c>
      <c r="C22" s="73" t="s">
        <v>185</v>
      </c>
      <c r="D22" s="173">
        <v>0.75</v>
      </c>
      <c r="E22" s="174" t="s">
        <v>4</v>
      </c>
      <c r="F22" s="27"/>
      <c r="G22" s="124"/>
      <c r="M22" s="107"/>
      <c r="N22" s="103"/>
      <c r="O22" s="103"/>
      <c r="P22" s="103"/>
      <c r="Q22" s="103"/>
      <c r="R22" s="103"/>
      <c r="S22" s="103"/>
      <c r="T22" s="103"/>
      <c r="U22" s="108"/>
      <c r="V22" s="108"/>
      <c r="W22" s="19"/>
    </row>
    <row r="23" spans="2:23" ht="18" customHeight="1" x14ac:dyDescent="0.25">
      <c r="B23" s="170" t="s">
        <v>187</v>
      </c>
      <c r="C23" s="171" t="s">
        <v>186</v>
      </c>
      <c r="D23" s="152">
        <v>2</v>
      </c>
      <c r="E23" s="175" t="s">
        <v>5</v>
      </c>
      <c r="F23" s="172"/>
      <c r="G23" s="124"/>
      <c r="M23" s="107"/>
      <c r="N23" s="103"/>
      <c r="O23" s="103"/>
      <c r="P23" s="103"/>
      <c r="Q23" s="103"/>
      <c r="R23" s="103"/>
      <c r="S23" s="103"/>
      <c r="T23" s="103"/>
      <c r="U23" s="108"/>
      <c r="V23" s="108"/>
      <c r="W23" s="19"/>
    </row>
    <row r="24" spans="2:23" ht="18" customHeight="1" thickBot="1" x14ac:dyDescent="0.3">
      <c r="B24" s="72" t="s">
        <v>117</v>
      </c>
      <c r="C24" s="74" t="s">
        <v>118</v>
      </c>
      <c r="D24" s="136">
        <v>85</v>
      </c>
      <c r="E24" s="43" t="s">
        <v>119</v>
      </c>
      <c r="F24" s="44"/>
      <c r="G24" s="124"/>
      <c r="M24" s="106"/>
      <c r="N24" s="104"/>
      <c r="O24" s="104"/>
      <c r="P24" s="104"/>
      <c r="Q24" s="104"/>
      <c r="R24" s="104"/>
      <c r="S24" s="104"/>
      <c r="T24" s="104"/>
      <c r="U24" s="42"/>
      <c r="V24" s="42"/>
      <c r="W24" s="19"/>
    </row>
    <row r="25" spans="2:23" ht="15" x14ac:dyDescent="0.25">
      <c r="B25"/>
      <c r="C25"/>
      <c r="D25"/>
      <c r="E25"/>
      <c r="F25"/>
      <c r="G25" s="124"/>
      <c r="M25" s="106"/>
      <c r="N25" s="104"/>
      <c r="O25" s="104"/>
      <c r="P25" s="104"/>
      <c r="Q25" s="104"/>
      <c r="R25" s="104"/>
      <c r="S25" s="104"/>
      <c r="T25" s="104"/>
      <c r="U25" s="42"/>
      <c r="V25" s="42"/>
      <c r="W25" s="19"/>
    </row>
    <row r="26" spans="2:23" ht="21.75" hidden="1" thickBot="1" x14ac:dyDescent="0.3">
      <c r="B26" s="265" t="s">
        <v>200</v>
      </c>
      <c r="C26" s="266"/>
      <c r="D26" s="184"/>
      <c r="E26" s="185"/>
      <c r="F26" s="176"/>
      <c r="G26" s="124"/>
      <c r="M26" s="107"/>
      <c r="N26" s="103"/>
      <c r="O26" s="103"/>
      <c r="P26" s="103"/>
      <c r="Q26" s="103"/>
      <c r="R26" s="103"/>
      <c r="S26" s="103"/>
      <c r="T26" s="103"/>
      <c r="U26" s="108"/>
      <c r="V26" s="108"/>
      <c r="W26" s="19"/>
    </row>
    <row r="27" spans="2:23" hidden="1" x14ac:dyDescent="0.25">
      <c r="B27" s="186" t="s">
        <v>194</v>
      </c>
      <c r="C27" s="187" t="s">
        <v>195</v>
      </c>
      <c r="D27" s="188">
        <f>D13</f>
        <v>13.8</v>
      </c>
      <c r="E27" s="189" t="s">
        <v>6</v>
      </c>
      <c r="F27" s="89">
        <v>3.5000000000000003E-2</v>
      </c>
      <c r="G27" s="123"/>
    </row>
    <row r="28" spans="2:23" ht="15.75" hidden="1" thickBot="1" x14ac:dyDescent="0.3">
      <c r="B28" s="72" t="s">
        <v>196</v>
      </c>
      <c r="C28" s="74" t="s">
        <v>197</v>
      </c>
      <c r="D28" s="190">
        <f>INDEX(W4:Y4,MATCH(D27,W3:Y3))</f>
        <v>390</v>
      </c>
      <c r="E28" s="57" t="s">
        <v>14</v>
      </c>
      <c r="F28" s="58"/>
      <c r="G28" s="123"/>
    </row>
    <row r="29" spans="2:23" ht="15.75" hidden="1" thickBot="1" x14ac:dyDescent="0.3">
      <c r="B29"/>
      <c r="C29"/>
      <c r="D29"/>
      <c r="E29"/>
      <c r="F29"/>
      <c r="G29" s="123"/>
    </row>
    <row r="30" spans="2:23" ht="21.75" hidden="1" thickBot="1" x14ac:dyDescent="0.3">
      <c r="B30" s="262" t="s">
        <v>201</v>
      </c>
      <c r="C30" s="267"/>
      <c r="D30" s="191"/>
      <c r="E30" s="192"/>
      <c r="F30" s="63"/>
      <c r="G30" s="123"/>
    </row>
    <row r="31" spans="2:23" ht="15.75" hidden="1" x14ac:dyDescent="0.25">
      <c r="B31" s="71" t="s">
        <v>122</v>
      </c>
      <c r="C31" s="166" t="s">
        <v>105</v>
      </c>
      <c r="D31" s="87">
        <f>D16</f>
        <v>6.25</v>
      </c>
      <c r="E31" s="193" t="s">
        <v>6</v>
      </c>
      <c r="F31" s="89">
        <v>0.03</v>
      </c>
      <c r="G31" s="123"/>
    </row>
    <row r="32" spans="2:23" ht="15" hidden="1" x14ac:dyDescent="0.25">
      <c r="B32" s="71" t="s">
        <v>203</v>
      </c>
      <c r="C32" s="73" t="s">
        <v>207</v>
      </c>
      <c r="D32" s="119">
        <v>470</v>
      </c>
      <c r="E32" s="21" t="s">
        <v>14</v>
      </c>
      <c r="F32" s="99">
        <v>0.01</v>
      </c>
      <c r="G32" s="123"/>
      <c r="K32" s="109">
        <f>D37</f>
        <v>5.675221238938053</v>
      </c>
      <c r="L32" s="110" t="s">
        <v>218</v>
      </c>
    </row>
    <row r="33" spans="2:23" ht="15" hidden="1" x14ac:dyDescent="0.25">
      <c r="B33" s="71" t="s">
        <v>63</v>
      </c>
      <c r="C33" s="73" t="s">
        <v>204</v>
      </c>
      <c r="D33" s="81">
        <f>D32/(D31/OVref -1)</f>
        <v>111.68316831683167</v>
      </c>
      <c r="E33" s="22" t="s">
        <v>14</v>
      </c>
      <c r="F33" s="56"/>
      <c r="G33" s="123"/>
      <c r="K33" s="109">
        <f>D36</f>
        <v>6.191150442477876</v>
      </c>
      <c r="L33" s="110" t="s">
        <v>79</v>
      </c>
    </row>
    <row r="34" spans="2:23" ht="15.75" hidden="1" x14ac:dyDescent="0.25">
      <c r="B34" s="256" t="s">
        <v>205</v>
      </c>
      <c r="C34" s="257"/>
      <c r="D34" s="258"/>
      <c r="E34" s="194"/>
      <c r="F34" s="195"/>
      <c r="G34" s="123"/>
      <c r="K34" s="202">
        <f>D27</f>
        <v>13.8</v>
      </c>
      <c r="L34" s="110" t="s">
        <v>219</v>
      </c>
    </row>
    <row r="35" spans="2:23" ht="15" hidden="1" x14ac:dyDescent="0.25">
      <c r="B35" s="71" t="s">
        <v>41</v>
      </c>
      <c r="C35" s="73" t="s">
        <v>42</v>
      </c>
      <c r="D35" s="121">
        <f>G35</f>
        <v>113.00000000000001</v>
      </c>
      <c r="E35" s="22" t="s">
        <v>14</v>
      </c>
      <c r="F35" s="196">
        <f>F32</f>
        <v>0.01</v>
      </c>
      <c r="G35" s="123">
        <f>L56/L55*D33</f>
        <v>113.00000000000001</v>
      </c>
    </row>
    <row r="36" spans="2:23" ht="15" hidden="1" x14ac:dyDescent="0.25">
      <c r="B36" s="71" t="s">
        <v>99</v>
      </c>
      <c r="C36" s="73" t="s">
        <v>110</v>
      </c>
      <c r="D36" s="82">
        <f>OVref*(1+D32/D35)</f>
        <v>6.191150442477876</v>
      </c>
      <c r="E36" s="22" t="s">
        <v>6</v>
      </c>
      <c r="F36" s="90">
        <f>SQRT(F126^2+F32^2+F35^2)</f>
        <v>3.3166247903553998E-2</v>
      </c>
      <c r="G36" s="123"/>
      <c r="K36" s="25"/>
      <c r="L36" s="115"/>
    </row>
    <row r="37" spans="2:23" ht="15.75" hidden="1" x14ac:dyDescent="0.25">
      <c r="B37" s="170" t="s">
        <v>100</v>
      </c>
      <c r="C37" s="197" t="s">
        <v>101</v>
      </c>
      <c r="D37" s="198">
        <f>UVref*(1+D32/D35)</f>
        <v>5.675221238938053</v>
      </c>
      <c r="E37" s="199" t="s">
        <v>6</v>
      </c>
      <c r="F37" s="200">
        <f>SQRT(F125^2+F32^2+F35^2)</f>
        <v>6.4567793829431716E-2</v>
      </c>
      <c r="G37" s="123"/>
      <c r="K37" s="25"/>
      <c r="L37" s="115"/>
    </row>
    <row r="38" spans="2:23" ht="15.75" hidden="1" thickBot="1" x14ac:dyDescent="0.3">
      <c r="B38" s="72" t="s">
        <v>202</v>
      </c>
      <c r="C38" s="74" t="s">
        <v>206</v>
      </c>
      <c r="D38" s="83">
        <f>D11*1000/(D32+D35)</f>
        <v>20.583190394511149</v>
      </c>
      <c r="E38" s="57" t="s">
        <v>7</v>
      </c>
      <c r="F38" s="58"/>
      <c r="G38" s="123"/>
    </row>
    <row r="39" spans="2:23" ht="15" x14ac:dyDescent="0.25">
      <c r="B39"/>
      <c r="C39"/>
      <c r="D39"/>
      <c r="E39"/>
      <c r="F39"/>
      <c r="G39" s="123"/>
    </row>
    <row r="40" spans="2:23" ht="15.75" thickBot="1" x14ac:dyDescent="0.3">
      <c r="B40"/>
      <c r="C40"/>
      <c r="D40"/>
      <c r="E40"/>
      <c r="F40"/>
      <c r="G40" s="123"/>
    </row>
    <row r="41" spans="2:23" ht="27.6" customHeight="1" thickBot="1" x14ac:dyDescent="0.3">
      <c r="B41" s="262" t="s">
        <v>227</v>
      </c>
      <c r="C41" s="263"/>
      <c r="D41" s="263"/>
      <c r="E41" s="263"/>
      <c r="F41" s="264"/>
      <c r="G41" s="125"/>
      <c r="L41" s="203" t="s">
        <v>106</v>
      </c>
      <c r="M41" s="112"/>
      <c r="N41" s="112"/>
      <c r="O41" s="112"/>
      <c r="P41" s="112"/>
      <c r="Q41" s="112"/>
      <c r="R41" s="112"/>
      <c r="S41" s="112"/>
      <c r="T41" s="112"/>
      <c r="U41" s="113"/>
      <c r="V41" s="113"/>
    </row>
    <row r="42" spans="2:23" ht="38.450000000000003" customHeight="1" x14ac:dyDescent="0.25">
      <c r="B42" s="71" t="s">
        <v>122</v>
      </c>
      <c r="C42" s="55" t="s">
        <v>105</v>
      </c>
      <c r="D42" s="87">
        <f>D16</f>
        <v>6.25</v>
      </c>
      <c r="E42" s="75"/>
      <c r="F42" s="77"/>
      <c r="G42" s="125"/>
      <c r="L42" s="204">
        <f>(OVref*D44)/(D42-OVref)</f>
        <v>111.68316831683168</v>
      </c>
      <c r="M42" s="112"/>
      <c r="N42" s="112"/>
      <c r="O42" s="112"/>
      <c r="P42" s="112"/>
      <c r="Q42" s="112"/>
      <c r="R42" s="112"/>
      <c r="S42" s="112"/>
      <c r="T42" s="112"/>
      <c r="U42" s="113"/>
      <c r="V42" s="113"/>
    </row>
    <row r="43" spans="2:23" ht="50.1" customHeight="1" x14ac:dyDescent="0.25">
      <c r="B43" s="46" t="s">
        <v>103</v>
      </c>
      <c r="C43" s="47" t="s">
        <v>104</v>
      </c>
      <c r="D43" s="88">
        <f>D15</f>
        <v>16.8</v>
      </c>
      <c r="E43" s="76"/>
      <c r="F43" s="78"/>
      <c r="G43" s="125"/>
      <c r="J43" s="109">
        <f>D51</f>
        <v>5.4813559322033907</v>
      </c>
      <c r="K43" s="114" t="s">
        <v>120</v>
      </c>
      <c r="L43" s="159" t="s">
        <v>41</v>
      </c>
      <c r="N43" s="112"/>
      <c r="O43" s="112"/>
      <c r="P43" s="112"/>
      <c r="Q43" s="112"/>
      <c r="R43" s="112"/>
      <c r="S43" s="112"/>
      <c r="T43" s="112"/>
      <c r="U43" s="113"/>
      <c r="V43" s="113"/>
    </row>
    <row r="44" spans="2:23" ht="35.1" customHeight="1" x14ac:dyDescent="0.25">
      <c r="B44" s="46" t="s">
        <v>95</v>
      </c>
      <c r="C44" s="47" t="s">
        <v>162</v>
      </c>
      <c r="D44" s="119">
        <v>470</v>
      </c>
      <c r="E44" s="21" t="s">
        <v>14</v>
      </c>
      <c r="F44" s="120">
        <v>0.01</v>
      </c>
      <c r="G44" s="125"/>
      <c r="H44" s="155"/>
      <c r="J44" s="109">
        <f>D50</f>
        <v>5.9796610169491524</v>
      </c>
      <c r="K44" s="114" t="s">
        <v>79</v>
      </c>
      <c r="L44" s="159">
        <f>IF(D45&gt;=10000,D45/100,IF(D45&gt;=1000,D45/10,IF(D45&gt;=100,D45,IF(D45&gt;=10,D45*10,D45*100))))</f>
        <v>701.34370579915128</v>
      </c>
    </row>
    <row r="45" spans="2:23" ht="45" customHeight="1" x14ac:dyDescent="0.25">
      <c r="B45" s="46" t="s">
        <v>63</v>
      </c>
      <c r="C45" s="47" t="s">
        <v>96</v>
      </c>
      <c r="D45" s="81">
        <f>L42-D46</f>
        <v>70.134370579915128</v>
      </c>
      <c r="E45" s="22" t="s">
        <v>14</v>
      </c>
      <c r="F45" s="79"/>
      <c r="G45" s="125"/>
      <c r="J45" s="109">
        <f>D53</f>
        <v>15.041860465116281</v>
      </c>
      <c r="K45" s="110" t="s">
        <v>82</v>
      </c>
      <c r="L45" s="159">
        <f>INDEX('Res EIA Tables'!E$5:E$197,2+MATCH(L44,'Res EIA Tables'!E$5:E$197))</f>
        <v>715</v>
      </c>
    </row>
    <row r="46" spans="2:23" ht="48.6" customHeight="1" x14ac:dyDescent="0.25">
      <c r="B46" s="46" t="s">
        <v>107</v>
      </c>
      <c r="C46" s="47" t="s">
        <v>96</v>
      </c>
      <c r="D46" s="81">
        <f>(D44+L42)*OVref/D43</f>
        <v>41.548797736916548</v>
      </c>
      <c r="E46" s="22" t="s">
        <v>14</v>
      </c>
      <c r="F46" s="56"/>
      <c r="G46" s="125"/>
      <c r="J46" s="109">
        <f>D52</f>
        <v>16.409302325581397</v>
      </c>
      <c r="K46" s="114" t="s">
        <v>84</v>
      </c>
      <c r="L46" s="159" t="s">
        <v>108</v>
      </c>
      <c r="W46" s="111"/>
    </row>
    <row r="47" spans="2:23" ht="46.5" customHeight="1" x14ac:dyDescent="0.25">
      <c r="B47" s="256" t="s">
        <v>166</v>
      </c>
      <c r="C47" s="258"/>
      <c r="D47" s="80"/>
      <c r="E47" s="80"/>
      <c r="F47" s="56"/>
      <c r="G47" s="125"/>
      <c r="L47" s="159">
        <f>IF(D46&gt;=10000,D46/100,IF(D46&gt;=1000,D46/10,IF(D46&gt;=100,D46,IF(D46&gt;=10,D46*10,D46*100))))</f>
        <v>415.48797736916549</v>
      </c>
    </row>
    <row r="48" spans="2:23" ht="38.450000000000003" customHeight="1" x14ac:dyDescent="0.25">
      <c r="B48" s="46" t="s">
        <v>41</v>
      </c>
      <c r="C48" s="47" t="s">
        <v>42</v>
      </c>
      <c r="D48" s="121">
        <v>75</v>
      </c>
      <c r="E48" s="22" t="s">
        <v>14</v>
      </c>
      <c r="F48" s="153">
        <v>0.01</v>
      </c>
      <c r="G48" s="125">
        <f>L45*D45/L44</f>
        <v>71.5</v>
      </c>
      <c r="J48" s="25"/>
      <c r="K48" s="115"/>
      <c r="L48" s="205">
        <f>INDEX('Res EIA Tables'!E$5:E$197,2+MATCH(L47,'Res EIA Tables'!E$5:E$197))</f>
        <v>422</v>
      </c>
    </row>
    <row r="49" spans="2:23" ht="45" customHeight="1" x14ac:dyDescent="0.25">
      <c r="B49" s="46" t="s">
        <v>108</v>
      </c>
      <c r="C49" s="47" t="s">
        <v>109</v>
      </c>
      <c r="D49" s="121">
        <v>43</v>
      </c>
      <c r="E49" s="22" t="s">
        <v>14</v>
      </c>
      <c r="F49" s="153">
        <v>0.01</v>
      </c>
      <c r="G49" s="125">
        <f>L48*D46/L47</f>
        <v>42.2</v>
      </c>
      <c r="J49" s="25"/>
      <c r="K49" s="115"/>
      <c r="L49" s="205"/>
    </row>
    <row r="50" spans="2:23" ht="35.450000000000003" customHeight="1" x14ac:dyDescent="0.25">
      <c r="B50" s="46" t="s">
        <v>99</v>
      </c>
      <c r="C50" s="47" t="s">
        <v>110</v>
      </c>
      <c r="D50" s="82">
        <f>OVref*(D44+D48+D49)/(D48+D49)</f>
        <v>5.9796610169491524</v>
      </c>
      <c r="E50" s="22" t="s">
        <v>6</v>
      </c>
      <c r="F50" s="90">
        <f>SQRT(F126^2+F44^2+F48^2+F49^2)</f>
        <v>3.4641016151377546E-2</v>
      </c>
      <c r="G50" s="125"/>
      <c r="J50" s="25"/>
      <c r="K50" s="115"/>
      <c r="L50" s="205">
        <f>IF(D58&gt;=100,D58,IF(D58&gt;=10,D58*10,D58*100))</f>
        <v>0</v>
      </c>
    </row>
    <row r="51" spans="2:23" s="111" customFormat="1" ht="37.5" customHeight="1" x14ac:dyDescent="0.25">
      <c r="B51" s="46" t="s">
        <v>100</v>
      </c>
      <c r="C51" s="47" t="s">
        <v>101</v>
      </c>
      <c r="D51" s="82">
        <f>UVref*(D44+D48+D49)/(D48+D49)</f>
        <v>5.4813559322033907</v>
      </c>
      <c r="E51" s="22" t="s">
        <v>6</v>
      </c>
      <c r="F51" s="90">
        <f>SQRT(F125^2+F44^2+F48^2+F49^2)</f>
        <v>6.5337584895678549E-2</v>
      </c>
      <c r="G51" s="126"/>
      <c r="J51" s="25"/>
      <c r="K51" s="115"/>
      <c r="L51" s="206" t="e">
        <f>IF(L50&gt;1000,INDEX('Res EIA Tables'!E$5:E$197,MATCH(L50/10,'Res EIA Tables'!E$5:E$197))*10,INDEX('Res EIA Tables'!E$5:E$197,MATCH(L50,'Res EIA Tables'!E$5:E$197)))</f>
        <v>#N/A</v>
      </c>
      <c r="M51" s="17"/>
      <c r="N51" s="17"/>
      <c r="O51" s="17"/>
      <c r="P51" s="17"/>
      <c r="Q51" s="17"/>
      <c r="R51" s="17"/>
      <c r="S51" s="17"/>
      <c r="T51" s="17"/>
      <c r="U51" s="19"/>
      <c r="V51" s="19"/>
      <c r="W51" s="17"/>
    </row>
    <row r="52" spans="2:23" ht="27.6" customHeight="1" x14ac:dyDescent="0.25">
      <c r="B52" s="46" t="s">
        <v>111</v>
      </c>
      <c r="C52" s="47" t="s">
        <v>113</v>
      </c>
      <c r="D52" s="82">
        <f>OVref*(D44+D48+D49)/(D49)</f>
        <v>16.409302325581397</v>
      </c>
      <c r="E52" s="22" t="s">
        <v>6</v>
      </c>
      <c r="F52" s="90">
        <f>SQRT(F126^2+F44^2+F48^2+F49^2)</f>
        <v>3.4641016151377546E-2</v>
      </c>
      <c r="G52" s="127"/>
      <c r="L52" s="159"/>
    </row>
    <row r="53" spans="2:23" ht="42" customHeight="1" x14ac:dyDescent="0.25">
      <c r="B53" s="46" t="s">
        <v>112</v>
      </c>
      <c r="C53" s="47" t="s">
        <v>114</v>
      </c>
      <c r="D53" s="82">
        <f>UVref*(D44+D48+D49)/(D49)</f>
        <v>15.041860465116281</v>
      </c>
      <c r="E53" s="22" t="s">
        <v>6</v>
      </c>
      <c r="F53" s="90">
        <f>SQRT(F125^2+F44^2+F48^2+F49^2)</f>
        <v>6.5337584895678549E-2</v>
      </c>
      <c r="G53" s="127"/>
      <c r="L53" s="207">
        <f>IF(D62&gt;=10000,D62/100,IF(D62&gt;=1000,D62/10,IF(D62&gt;=100,D62,IF(D62&gt;=10,D62*10,D62*100))))</f>
        <v>552.94117647058818</v>
      </c>
    </row>
    <row r="54" spans="2:23" ht="45.6" customHeight="1" thickBot="1" x14ac:dyDescent="0.3">
      <c r="B54" s="53" t="s">
        <v>115</v>
      </c>
      <c r="C54" s="54" t="s">
        <v>116</v>
      </c>
      <c r="D54" s="83">
        <f>D12*1000/(D44+D48+D49)</f>
        <v>25.170068027210885</v>
      </c>
      <c r="E54" s="57" t="s">
        <v>7</v>
      </c>
      <c r="F54" s="58"/>
      <c r="G54" s="125"/>
      <c r="L54" s="159">
        <f>INDEX('Res EIA Tables'!E$5:E$197,2+MATCH(L53,'Res EIA Tables'!E$5:E$197))</f>
        <v>562</v>
      </c>
      <c r="M54" s="111"/>
      <c r="N54" s="111"/>
      <c r="O54" s="111"/>
      <c r="P54" s="111"/>
      <c r="Q54" s="111"/>
      <c r="R54" s="111"/>
      <c r="S54" s="111"/>
      <c r="T54" s="111"/>
      <c r="U54" s="116"/>
      <c r="V54" s="116"/>
    </row>
    <row r="55" spans="2:23" ht="25.35" customHeight="1" x14ac:dyDescent="0.25">
      <c r="G55" s="125"/>
      <c r="L55" s="159">
        <f>IF(D33&gt;=10000,D33/100,IF(D33&gt;=1000,D33/10,IF(D33&gt;=100,D33,IF(D33&gt;=10,D33*10,D33*100))))</f>
        <v>111.68316831683167</v>
      </c>
    </row>
    <row r="56" spans="2:23" ht="18" customHeight="1" x14ac:dyDescent="0.25">
      <c r="B56"/>
      <c r="C56"/>
      <c r="D56"/>
      <c r="E56"/>
      <c r="F56"/>
      <c r="G56"/>
      <c r="L56" s="159">
        <f>INDEX('Res EIA Tables'!E$5:E$197,2+MATCH(L55,'Res EIA Tables'!E$5:E$197))</f>
        <v>113</v>
      </c>
    </row>
    <row r="57" spans="2:23" ht="18" customHeight="1" x14ac:dyDescent="0.25">
      <c r="B57"/>
      <c r="C57"/>
      <c r="D57"/>
      <c r="E57"/>
      <c r="F57"/>
      <c r="G57"/>
      <c r="L57" s="159">
        <f>IF(D70&gt;=10000,D70/100,IF(D70&gt;=1000,D70/10,IF(D70&gt;=100,D70,IF(D70&gt;=10,D70*10,D70*100))))</f>
        <v>444.5333333333333</v>
      </c>
    </row>
    <row r="58" spans="2:23" ht="18" customHeight="1" x14ac:dyDescent="0.25">
      <c r="B58"/>
      <c r="C58"/>
      <c r="D58"/>
      <c r="E58"/>
      <c r="F58"/>
      <c r="G58"/>
      <c r="L58" s="159">
        <f>INDEX('Res EIA Tables'!E$5:E$197,2+MATCH(L57,'Res EIA Tables'!E$5:E$197))</f>
        <v>453</v>
      </c>
    </row>
    <row r="59" spans="2:23" customFormat="1" ht="18" hidden="1" customHeight="1" thickBot="1" x14ac:dyDescent="0.3">
      <c r="B59" s="210" t="s">
        <v>228</v>
      </c>
      <c r="C59" s="211"/>
      <c r="D59" s="212"/>
      <c r="E59" s="211"/>
      <c r="F59" s="213"/>
    </row>
    <row r="60" spans="2:23" customFormat="1" ht="18" hidden="1" customHeight="1" thickBot="1" x14ac:dyDescent="0.3">
      <c r="B60" s="144" t="s">
        <v>125</v>
      </c>
      <c r="C60" s="145" t="s">
        <v>126</v>
      </c>
      <c r="D60" s="214">
        <v>11.4</v>
      </c>
      <c r="E60" s="146" t="s">
        <v>6</v>
      </c>
      <c r="F60" s="215">
        <v>0.03</v>
      </c>
    </row>
    <row r="61" spans="2:23" customFormat="1" ht="18" hidden="1" customHeight="1" thickBot="1" x14ac:dyDescent="0.3">
      <c r="B61" s="216" t="s">
        <v>127</v>
      </c>
      <c r="C61" s="217" t="s">
        <v>140</v>
      </c>
      <c r="D61" s="218">
        <v>47</v>
      </c>
      <c r="E61" s="219" t="s">
        <v>14</v>
      </c>
      <c r="F61" s="220">
        <v>0.01</v>
      </c>
    </row>
    <row r="62" spans="2:23" customFormat="1" ht="18" hidden="1" customHeight="1" thickBot="1" x14ac:dyDescent="0.3">
      <c r="B62" s="216" t="s">
        <v>128</v>
      </c>
      <c r="C62" s="217" t="s">
        <v>129</v>
      </c>
      <c r="D62" s="221">
        <f>D61*PGTH/(D60-PGTH)</f>
        <v>5.5294117647058814</v>
      </c>
      <c r="E62" s="222" t="s">
        <v>14</v>
      </c>
      <c r="F62" s="223"/>
    </row>
    <row r="63" spans="2:23" customFormat="1" ht="18" hidden="1" customHeight="1" thickBot="1" x14ac:dyDescent="0.3">
      <c r="B63" s="224" t="s">
        <v>165</v>
      </c>
      <c r="C63" s="225"/>
      <c r="D63" s="223"/>
      <c r="E63" s="226"/>
      <c r="F63" s="227"/>
    </row>
    <row r="64" spans="2:23" customFormat="1" ht="18" hidden="1" customHeight="1" thickBot="1" x14ac:dyDescent="0.3">
      <c r="B64" s="228" t="s">
        <v>133</v>
      </c>
      <c r="C64" s="229" t="s">
        <v>153</v>
      </c>
      <c r="D64" s="230">
        <f>D62*L54/L53</f>
        <v>5.62</v>
      </c>
      <c r="E64" s="222" t="s">
        <v>14</v>
      </c>
      <c r="F64" s="231">
        <v>0.01</v>
      </c>
    </row>
    <row r="65" spans="2:23" customFormat="1" ht="18" hidden="1" customHeight="1" thickBot="1" x14ac:dyDescent="0.3">
      <c r="B65" s="232" t="s">
        <v>134</v>
      </c>
      <c r="C65" s="233" t="s">
        <v>139</v>
      </c>
      <c r="D65" s="234">
        <f>1.2*(D61+D64)/D64</f>
        <v>11.235587188612097</v>
      </c>
      <c r="E65" s="235" t="s">
        <v>6</v>
      </c>
      <c r="F65" s="215">
        <f>SQRT(F126^2+F61^2+F64^2)</f>
        <v>3.3166247903553998E-2</v>
      </c>
    </row>
    <row r="66" spans="2:23" customFormat="1" ht="18" hidden="1" customHeight="1" thickBot="1" x14ac:dyDescent="0.3">
      <c r="B66" s="236" t="s">
        <v>135</v>
      </c>
      <c r="C66" s="237" t="s">
        <v>138</v>
      </c>
      <c r="D66" s="238">
        <f>1.1*(D61+D64)/D64</f>
        <v>10.299288256227758</v>
      </c>
      <c r="E66" s="239" t="s">
        <v>6</v>
      </c>
      <c r="F66" s="215">
        <f>SQRT(F125^2+F61^2+F64^2)</f>
        <v>6.4567793829431716E-2</v>
      </c>
    </row>
    <row r="67" spans="2:23" customFormat="1" ht="18" hidden="1" customHeight="1" thickBot="1" x14ac:dyDescent="0.3">
      <c r="B67" s="216" t="s">
        <v>136</v>
      </c>
      <c r="C67" s="217" t="s">
        <v>137</v>
      </c>
      <c r="D67" s="240">
        <f>D12*1000/(D61+D64)</f>
        <v>281.26187761307489</v>
      </c>
      <c r="E67" s="241" t="s">
        <v>7</v>
      </c>
      <c r="F67" s="223"/>
    </row>
    <row r="68" spans="2:23" customFormat="1" ht="18" customHeight="1" thickBot="1" x14ac:dyDescent="0.3"/>
    <row r="69" spans="2:23" customFormat="1" ht="18" customHeight="1" thickBot="1" x14ac:dyDescent="0.3">
      <c r="B69" s="268" t="s">
        <v>208</v>
      </c>
      <c r="C69" s="268"/>
      <c r="D69" s="268"/>
      <c r="E69" s="268"/>
      <c r="F69" s="268"/>
      <c r="K69" s="25">
        <f>Icharge*(10^-3)</f>
        <v>5.2222222222222218E-3</v>
      </c>
      <c r="L69" s="115" t="s">
        <v>220</v>
      </c>
    </row>
    <row r="70" spans="2:23" customFormat="1" ht="18" customHeight="1" thickBot="1" x14ac:dyDescent="0.3">
      <c r="B70" s="242" t="s">
        <v>209</v>
      </c>
      <c r="C70" s="243" t="s">
        <v>210</v>
      </c>
      <c r="D70" s="240">
        <f>3334/(Ilimit)</f>
        <v>4445.333333333333</v>
      </c>
      <c r="E70" s="146" t="s">
        <v>36</v>
      </c>
      <c r="F70" s="244"/>
      <c r="K70" s="25">
        <f>Ilimit_final</f>
        <v>0.59535714285714281</v>
      </c>
      <c r="L70" s="115" t="s">
        <v>221</v>
      </c>
    </row>
    <row r="71" spans="2:23" customFormat="1" ht="18" customHeight="1" thickBot="1" x14ac:dyDescent="0.3">
      <c r="B71" s="269" t="s">
        <v>211</v>
      </c>
      <c r="C71" s="269"/>
      <c r="D71" s="269"/>
      <c r="E71" s="146"/>
      <c r="F71" s="244"/>
    </row>
    <row r="72" spans="2:23" customFormat="1" ht="18" customHeight="1" thickBot="1" x14ac:dyDescent="0.3">
      <c r="B72" s="242" t="s">
        <v>212</v>
      </c>
      <c r="C72" s="243" t="s">
        <v>213</v>
      </c>
      <c r="D72" s="245">
        <v>5600</v>
      </c>
      <c r="E72" s="146" t="s">
        <v>36</v>
      </c>
      <c r="F72" s="246">
        <v>0.01</v>
      </c>
      <c r="G72" s="208">
        <f>L58/L57*D70</f>
        <v>4530</v>
      </c>
    </row>
    <row r="73" spans="2:23" customFormat="1" ht="18" customHeight="1" thickBot="1" x14ac:dyDescent="0.3">
      <c r="B73" s="242" t="s">
        <v>214</v>
      </c>
      <c r="C73" s="243" t="s">
        <v>215</v>
      </c>
      <c r="D73" s="240">
        <f>3334/D72</f>
        <v>0.59535714285714281</v>
      </c>
      <c r="E73" s="146" t="s">
        <v>4</v>
      </c>
      <c r="F73" s="247">
        <f>SQRT(0.105^2+F72^2)</f>
        <v>0.10547511554864492</v>
      </c>
    </row>
    <row r="74" spans="2:23" customFormat="1" ht="18" customHeight="1" thickBot="1" x14ac:dyDescent="0.3">
      <c r="B74" s="242" t="s">
        <v>222</v>
      </c>
      <c r="C74" s="243" t="s">
        <v>223</v>
      </c>
      <c r="D74" s="240">
        <f>2*Ilimit_final</f>
        <v>1.1907142857142856</v>
      </c>
      <c r="E74" s="146" t="s">
        <v>4</v>
      </c>
      <c r="F74" s="248">
        <f>F73</f>
        <v>0.10547511554864492</v>
      </c>
    </row>
    <row r="75" spans="2:23" ht="15.75" thickBot="1" x14ac:dyDescent="0.3">
      <c r="B75"/>
      <c r="C75"/>
      <c r="D75"/>
      <c r="E75"/>
      <c r="F75"/>
      <c r="G75" s="125"/>
    </row>
    <row r="76" spans="2:23" ht="21.6" customHeight="1" thickBot="1" x14ac:dyDescent="0.3">
      <c r="B76" s="259" t="s">
        <v>88</v>
      </c>
      <c r="C76" s="260"/>
      <c r="D76" s="260"/>
      <c r="E76" s="260"/>
      <c r="F76" s="261"/>
      <c r="G76" s="125"/>
      <c r="I76" s="25"/>
      <c r="W76" s="111"/>
    </row>
    <row r="77" spans="2:23" ht="18" customHeight="1" x14ac:dyDescent="0.25">
      <c r="B77" s="65" t="s">
        <v>0</v>
      </c>
      <c r="C77" s="66" t="s">
        <v>1</v>
      </c>
      <c r="D77" s="67" t="s">
        <v>2</v>
      </c>
      <c r="E77" s="68" t="s">
        <v>3</v>
      </c>
      <c r="F77" s="69" t="s">
        <v>50</v>
      </c>
      <c r="G77" s="125"/>
      <c r="W77" s="111"/>
    </row>
    <row r="78" spans="2:23" ht="18" customHeight="1" x14ac:dyDescent="0.25">
      <c r="B78" s="46" t="s">
        <v>89</v>
      </c>
      <c r="C78" s="47" t="s">
        <v>141</v>
      </c>
      <c r="D78" s="86">
        <v>2.2000000000000002</v>
      </c>
      <c r="E78" s="22" t="s">
        <v>7</v>
      </c>
      <c r="F78" s="90">
        <v>0.104</v>
      </c>
      <c r="G78" s="125"/>
      <c r="W78" s="111"/>
    </row>
    <row r="79" spans="2:23" s="111" customFormat="1" ht="31.5" customHeight="1" x14ac:dyDescent="0.25">
      <c r="B79" s="46" t="s">
        <v>69</v>
      </c>
      <c r="C79" s="47" t="s">
        <v>216</v>
      </c>
      <c r="D79" s="86">
        <f>Cout*(Vcc_max/D80)/1000</f>
        <v>0.31819464033850497</v>
      </c>
      <c r="E79" s="22" t="s">
        <v>4</v>
      </c>
      <c r="F79" s="56"/>
      <c r="G79" s="125"/>
      <c r="M79" s="17"/>
      <c r="N79" s="17"/>
      <c r="O79" s="17"/>
      <c r="P79" s="17"/>
      <c r="Q79" s="17"/>
      <c r="R79" s="17"/>
      <c r="S79" s="17"/>
      <c r="T79" s="17"/>
      <c r="U79" s="19"/>
      <c r="V79" s="19"/>
      <c r="W79" s="17"/>
    </row>
    <row r="80" spans="2:23" s="111" customFormat="1" ht="32.450000000000003" customHeight="1" x14ac:dyDescent="0.25">
      <c r="B80" s="46" t="s">
        <v>91</v>
      </c>
      <c r="C80" s="47" t="s">
        <v>90</v>
      </c>
      <c r="D80" s="86">
        <f>-0.0007*(Vcc_max^2) + 0.0301*Vcc_max + 0.0941</f>
        <v>0.35449999999999998</v>
      </c>
      <c r="E80" s="22" t="s">
        <v>5</v>
      </c>
      <c r="F80" s="90">
        <v>0.15</v>
      </c>
      <c r="H80" s="125"/>
      <c r="M80" s="17"/>
      <c r="N80" s="17"/>
      <c r="O80" s="17"/>
      <c r="P80" s="17"/>
      <c r="Q80" s="17"/>
      <c r="R80" s="17"/>
      <c r="S80" s="17"/>
      <c r="T80" s="17"/>
      <c r="U80" s="19"/>
      <c r="V80" s="19"/>
      <c r="W80" s="17"/>
    </row>
    <row r="81" spans="2:45" s="111" customFormat="1" ht="18" customHeight="1" x14ac:dyDescent="0.25">
      <c r="B81" s="46" t="s">
        <v>44</v>
      </c>
      <c r="C81" s="47" t="s">
        <v>45</v>
      </c>
      <c r="D81" s="100">
        <v>20</v>
      </c>
      <c r="E81" s="22" t="s">
        <v>5</v>
      </c>
      <c r="F81" s="56"/>
      <c r="G81" s="129"/>
      <c r="L81" s="117"/>
      <c r="M81" s="17"/>
      <c r="N81" s="17"/>
      <c r="O81" s="17"/>
      <c r="P81" s="17"/>
      <c r="Q81" s="17"/>
      <c r="R81" s="17"/>
      <c r="S81" s="17"/>
      <c r="T81" s="17"/>
      <c r="U81" s="19"/>
      <c r="V81" s="19"/>
      <c r="W81" s="17"/>
    </row>
    <row r="82" spans="2:45" ht="18" customHeight="1" x14ac:dyDescent="0.25">
      <c r="B82" s="46" t="s">
        <v>46</v>
      </c>
      <c r="C82" s="47" t="s">
        <v>70</v>
      </c>
      <c r="D82" s="100">
        <v>1</v>
      </c>
      <c r="E82" s="22" t="s">
        <v>4</v>
      </c>
      <c r="F82" s="56"/>
      <c r="G82" s="125"/>
      <c r="M82" s="117"/>
      <c r="N82" s="111"/>
      <c r="O82" s="111"/>
      <c r="P82" s="111"/>
      <c r="Q82" s="111"/>
      <c r="R82" s="111"/>
      <c r="S82" s="111"/>
      <c r="T82" s="111"/>
      <c r="U82" s="116"/>
      <c r="V82" s="116"/>
    </row>
    <row r="83" spans="2:45" ht="18" customHeight="1" x14ac:dyDescent="0.25">
      <c r="B83" s="46" t="s">
        <v>75</v>
      </c>
      <c r="C83" s="47" t="s">
        <v>73</v>
      </c>
      <c r="D83" s="137">
        <f>IF(Tchg_req&lt;D80,    0,  (2000*Tchg_req/Vcc_max))</f>
        <v>3333.3333333333335</v>
      </c>
      <c r="E83" s="22" t="s">
        <v>43</v>
      </c>
      <c r="F83" s="56"/>
      <c r="G83" s="125"/>
      <c r="M83" s="117"/>
      <c r="N83" s="111"/>
      <c r="O83" s="111"/>
      <c r="P83" s="111"/>
      <c r="Q83" s="111"/>
      <c r="R83" s="111"/>
      <c r="S83" s="111"/>
      <c r="T83" s="111"/>
      <c r="U83" s="116"/>
      <c r="V83" s="116"/>
      <c r="Y83" s="159"/>
      <c r="Z83" s="159"/>
      <c r="AA83" s="159"/>
      <c r="AB83" s="159"/>
      <c r="AC83" s="159"/>
      <c r="AD83" s="159"/>
      <c r="AE83" s="159"/>
      <c r="AF83" s="159"/>
      <c r="AG83" s="159"/>
      <c r="AH83" s="159"/>
      <c r="AI83" s="159"/>
      <c r="AJ83" s="159"/>
      <c r="AK83" s="159"/>
      <c r="AL83" s="159"/>
      <c r="AM83" s="159"/>
      <c r="AN83" s="159"/>
      <c r="AO83" s="159"/>
      <c r="AP83" s="159"/>
      <c r="AQ83" s="159"/>
      <c r="AR83" s="159"/>
      <c r="AS83" s="159"/>
    </row>
    <row r="84" spans="2:45" ht="18" customHeight="1" x14ac:dyDescent="0.25">
      <c r="B84" s="46" t="s">
        <v>76</v>
      </c>
      <c r="C84" s="47" t="s">
        <v>74</v>
      </c>
      <c r="D84" s="137">
        <f>(2000*Cout/Icharge_req/1000)</f>
        <v>18.8</v>
      </c>
      <c r="E84" s="22" t="s">
        <v>43</v>
      </c>
      <c r="F84" s="56"/>
      <c r="G84" s="125"/>
      <c r="M84" s="117"/>
      <c r="N84" s="111"/>
      <c r="O84" s="111"/>
      <c r="P84" s="111"/>
      <c r="Q84" s="111"/>
      <c r="R84" s="111"/>
      <c r="S84" s="111"/>
      <c r="T84" s="111"/>
      <c r="U84" s="249"/>
      <c r="V84" s="249"/>
      <c r="W84" s="159"/>
      <c r="X84" s="159"/>
      <c r="Y84" s="159"/>
      <c r="Z84" s="159"/>
      <c r="AA84" s="159"/>
      <c r="AB84" s="159"/>
      <c r="AC84" s="159"/>
      <c r="AD84" s="159"/>
      <c r="AE84" s="159"/>
      <c r="AF84" s="159"/>
      <c r="AG84" s="159"/>
      <c r="AH84" s="159"/>
      <c r="AI84" s="159"/>
      <c r="AJ84" s="159"/>
      <c r="AK84" s="159"/>
      <c r="AL84" s="159"/>
      <c r="AM84" s="159"/>
      <c r="AN84" s="159"/>
      <c r="AO84" s="159"/>
      <c r="AP84" s="159"/>
      <c r="AQ84" s="159"/>
      <c r="AR84" s="159"/>
      <c r="AS84" s="159"/>
    </row>
    <row r="85" spans="2:45" ht="18" customHeight="1" x14ac:dyDescent="0.25">
      <c r="B85" s="256" t="s">
        <v>77</v>
      </c>
      <c r="C85" s="257"/>
      <c r="D85" s="258"/>
      <c r="E85" s="22"/>
      <c r="F85" s="56"/>
      <c r="G85" s="147">
        <f>(MAX(D83,D84))/1000</f>
        <v>3.3333333333333335</v>
      </c>
      <c r="J85" s="32"/>
      <c r="U85" s="250"/>
      <c r="V85" s="250"/>
      <c r="W85" s="159"/>
      <c r="X85" s="159"/>
      <c r="Y85" s="159"/>
      <c r="Z85" s="159"/>
      <c r="AA85" s="159"/>
      <c r="AB85" s="159"/>
      <c r="AC85" s="159"/>
      <c r="AD85" s="159">
        <f>Y95-AB93</f>
        <v>2.4805759999999992</v>
      </c>
      <c r="AE85" s="159"/>
      <c r="AF85" s="159"/>
      <c r="AG85" s="159"/>
      <c r="AH85" s="159"/>
      <c r="AI85" s="159"/>
      <c r="AJ85" s="159"/>
      <c r="AK85" s="159"/>
      <c r="AL85" s="159"/>
      <c r="AM85" s="159"/>
      <c r="AN85" s="159"/>
      <c r="AO85" s="159"/>
      <c r="AP85" s="159"/>
      <c r="AQ85" s="159"/>
      <c r="AR85" s="159"/>
      <c r="AS85" s="159"/>
    </row>
    <row r="86" spans="2:45" ht="18" customHeight="1" x14ac:dyDescent="0.25">
      <c r="B86" s="46" t="s">
        <v>78</v>
      </c>
      <c r="C86" s="47" t="s">
        <v>123</v>
      </c>
      <c r="D86" s="138">
        <f>G87</f>
        <v>3.6</v>
      </c>
      <c r="E86" s="22" t="s">
        <v>152</v>
      </c>
      <c r="F86" s="122">
        <v>0.1</v>
      </c>
      <c r="G86" s="124"/>
      <c r="U86" s="250">
        <f>D90+D93</f>
        <v>0.16629861111111108</v>
      </c>
      <c r="V86" s="250">
        <f>AB93/I93</f>
        <v>9.6482118055555594E-2</v>
      </c>
      <c r="W86" s="159"/>
      <c r="X86" s="159"/>
      <c r="Y86" s="159"/>
      <c r="Z86" s="159"/>
      <c r="AA86" s="159"/>
      <c r="AB86" s="159"/>
      <c r="AC86" s="159"/>
      <c r="AD86" s="159">
        <f>(23.97*Tchg_dvdt^(-0.33)*Tchg_dvdt)-AB93</f>
        <v>186.71294205926523</v>
      </c>
      <c r="AE86" s="159"/>
      <c r="AF86" s="159"/>
      <c r="AG86" s="159"/>
      <c r="AH86" s="159"/>
      <c r="AI86" s="159"/>
      <c r="AJ86" s="159"/>
      <c r="AK86" s="159"/>
      <c r="AL86" s="159"/>
      <c r="AM86" s="159"/>
      <c r="AN86" s="159"/>
      <c r="AO86" s="159"/>
      <c r="AP86" s="159"/>
      <c r="AQ86" s="159"/>
      <c r="AR86" s="159"/>
      <c r="AS86" s="159"/>
    </row>
    <row r="87" spans="2:45" ht="16.7" customHeight="1" x14ac:dyDescent="0.25">
      <c r="B87" s="46" t="s">
        <v>47</v>
      </c>
      <c r="C87" s="47" t="s">
        <v>80</v>
      </c>
      <c r="D87" s="139">
        <f>IF(Cdvdt_ext="OPEN",D79*1000,(Cout*2000/Cdvdt_ext/1000))</f>
        <v>5.2222222222222214</v>
      </c>
      <c r="E87" s="21" t="s">
        <v>142</v>
      </c>
      <c r="F87" s="84">
        <f>SQRT(F89^2+F18^2)</f>
        <v>0.14142135623730953</v>
      </c>
      <c r="G87" s="124">
        <f>IF(G85&gt;1,INDEX('Cap Tables'!B4:B75,1+MATCH(G85,'Cap Tables'!B4:B75)),(INDEX('Cap Tables'!A4:A75,1+MATCH(G85*10,'Cap Tables'!A4:A75))/10))</f>
        <v>3.6</v>
      </c>
      <c r="U87" s="250"/>
      <c r="V87" s="250"/>
      <c r="W87" s="159"/>
      <c r="X87" s="159"/>
      <c r="Y87" s="159"/>
      <c r="Z87" s="159"/>
      <c r="AA87" s="159"/>
      <c r="AB87" s="159"/>
      <c r="AC87" s="159"/>
      <c r="AD87" s="159"/>
      <c r="AE87" s="159"/>
      <c r="AF87" s="159"/>
      <c r="AG87" s="159"/>
      <c r="AH87" s="159"/>
      <c r="AI87" s="159"/>
      <c r="AJ87" s="159"/>
      <c r="AK87" s="159"/>
      <c r="AL87" s="159"/>
      <c r="AM87" s="159"/>
      <c r="AN87" s="159"/>
      <c r="AO87" s="159"/>
      <c r="AP87" s="159"/>
      <c r="AQ87" s="159"/>
      <c r="AR87" s="159"/>
      <c r="AS87" s="159"/>
    </row>
    <row r="88" spans="2:45" ht="16.7" customHeight="1" x14ac:dyDescent="0.25">
      <c r="B88" s="46" t="s">
        <v>217</v>
      </c>
      <c r="C88" s="47"/>
      <c r="D88" s="201" t="b">
        <f>((Icharge*(10^-3)+Vcc_max/Rlstart) &gt;= Ilimit_final)</f>
        <v>0</v>
      </c>
      <c r="E88" s="21"/>
      <c r="F88" s="27"/>
      <c r="G88" s="128">
        <f>Cout*0.001*Rlstart*(Ilimit_final/Icharge -1+LN(Icharge/(Ilimit_final-Vcc_max/Rlstart)))</f>
        <v>1.4199794737277873</v>
      </c>
      <c r="U88" s="250"/>
      <c r="V88" s="250"/>
      <c r="W88" s="159"/>
      <c r="X88" s="159"/>
      <c r="AS88" s="159"/>
    </row>
    <row r="89" spans="2:45" ht="16.7" customHeight="1" x14ac:dyDescent="0.25">
      <c r="B89" s="46" t="s">
        <v>150</v>
      </c>
      <c r="C89" s="47" t="s">
        <v>151</v>
      </c>
      <c r="D89" s="139">
        <f>IF(D88, G88, IF(Cdvdt_ext="OPEN",D80,Vcc_max*Cdvdt_ext*1000/2000))</f>
        <v>21.6</v>
      </c>
      <c r="E89" s="21" t="s">
        <v>5</v>
      </c>
      <c r="F89" s="84">
        <f>F86</f>
        <v>0.1</v>
      </c>
      <c r="U89" s="250"/>
      <c r="V89" s="250"/>
      <c r="W89" s="159"/>
      <c r="X89" s="159"/>
      <c r="Z89" s="17">
        <f>56.24*Tchg_dvdt^(-0.34)*Tchg_dvdt*0.8</f>
        <v>341.88084977315026</v>
      </c>
      <c r="AS89" s="159"/>
    </row>
    <row r="90" spans="2:45" ht="19.5" thickBot="1" x14ac:dyDescent="0.3">
      <c r="B90" s="53" t="s">
        <v>81</v>
      </c>
      <c r="C90" s="54" t="s">
        <v>48</v>
      </c>
      <c r="D90" s="83">
        <f>0.5*Vcc_max*Icharge/10^3</f>
        <v>3.1333333333333331E-2</v>
      </c>
      <c r="E90" s="64" t="s">
        <v>20</v>
      </c>
      <c r="F90" s="44"/>
      <c r="G90" s="126"/>
      <c r="U90" s="250"/>
      <c r="V90" s="250"/>
      <c r="W90" s="159"/>
      <c r="X90" s="159"/>
      <c r="Z90" s="17">
        <f>23.97*Tchg_dvdt^(-0.33)*Tchg_dvdt*0.8</f>
        <v>150.25953284741217</v>
      </c>
      <c r="AS90" s="159"/>
    </row>
    <row r="91" spans="2:45" ht="18" customHeight="1" thickBot="1" x14ac:dyDescent="0.3">
      <c r="G91" s="128"/>
      <c r="U91" s="250"/>
      <c r="V91" s="250"/>
      <c r="W91" s="159"/>
      <c r="X91" s="159"/>
      <c r="Z91" s="17">
        <f>37.14*Tchg_dvdt^(-0.31)*Tchg_dvdt*0.51</f>
        <v>157.82840361856961</v>
      </c>
      <c r="AS91" s="159"/>
    </row>
    <row r="92" spans="2:45" ht="20.25" customHeight="1" thickBot="1" x14ac:dyDescent="0.3">
      <c r="B92" s="259" t="s">
        <v>34</v>
      </c>
      <c r="C92" s="260"/>
      <c r="D92" s="260"/>
      <c r="E92" s="260"/>
      <c r="F92" s="261"/>
      <c r="G92" s="126"/>
      <c r="K92"/>
      <c r="U92" s="250"/>
      <c r="V92" s="250"/>
      <c r="W92" s="159"/>
      <c r="X92" s="159"/>
      <c r="Y92" s="17" t="s">
        <v>163</v>
      </c>
      <c r="Z92" s="17" t="s">
        <v>164</v>
      </c>
      <c r="AA92" s="17" t="s">
        <v>167</v>
      </c>
      <c r="AS92" s="159"/>
    </row>
    <row r="93" spans="2:45" ht="18" customHeight="1" x14ac:dyDescent="0.25">
      <c r="B93" s="132" t="s">
        <v>37</v>
      </c>
      <c r="C93" s="55" t="s">
        <v>49</v>
      </c>
      <c r="D93" s="140">
        <f>(Vcc_max^2/Rlstart)*(1/6-(D20^2/2/Vcc_max^2)+(D20^3/3/Vcc_max^3))</f>
        <v>0.13496527777777775</v>
      </c>
      <c r="E93" s="62" t="s">
        <v>20</v>
      </c>
      <c r="F93" s="133"/>
      <c r="G93" s="124"/>
      <c r="H93"/>
      <c r="I93" s="207">
        <f>(Vcc_max-5.6)*Tchg_dvdt/Vcc_max</f>
        <v>11.520000000000001</v>
      </c>
      <c r="J93"/>
      <c r="K93"/>
      <c r="L93"/>
      <c r="M93" s="41"/>
      <c r="N93"/>
      <c r="O93"/>
      <c r="P93"/>
      <c r="Q93" s="41"/>
      <c r="R93" s="41"/>
      <c r="S93" s="41"/>
      <c r="T93" s="41"/>
      <c r="U93" s="208"/>
      <c r="V93" s="251"/>
      <c r="W93" s="159"/>
      <c r="X93" s="159"/>
      <c r="Y93" s="17">
        <f>0.5*Vcc_max*Icharge/10^3*Tchg_dvdt</f>
        <v>0.67679999999999996</v>
      </c>
      <c r="Z93" s="17">
        <f>13.312*Tchg_dvdt^(-0.4)*Tchg_dvdt*0.8</f>
        <v>67.298525131817556</v>
      </c>
      <c r="AA93" s="17">
        <f>0.5*(Vcc_max+5.6)*Icharge/10^3*I93</f>
        <v>0.5294080000000001</v>
      </c>
      <c r="AB93" s="17">
        <f>IF(D20&lt;Vcc_max-5.6,AA95,AA93)</f>
        <v>1.1114740000000005</v>
      </c>
      <c r="AS93" s="159"/>
    </row>
    <row r="94" spans="2:45" ht="21.6" customHeight="1" x14ac:dyDescent="0.25">
      <c r="B94" s="46" t="s">
        <v>39</v>
      </c>
      <c r="C94" s="47" t="s">
        <v>38</v>
      </c>
      <c r="D94" s="141">
        <f>D90+D93</f>
        <v>0.16629861111111108</v>
      </c>
      <c r="E94" s="22" t="s">
        <v>20</v>
      </c>
      <c r="F94" s="56"/>
      <c r="G94" s="124"/>
      <c r="I94"/>
      <c r="J94"/>
      <c r="K94"/>
      <c r="L94"/>
      <c r="M94" s="41"/>
      <c r="N94"/>
      <c r="O94"/>
      <c r="P94"/>
      <c r="Q94" s="41"/>
      <c r="R94" s="41"/>
      <c r="S94" s="41"/>
      <c r="T94" s="41"/>
      <c r="U94" s="251"/>
      <c r="V94" s="251"/>
      <c r="W94" s="159"/>
      <c r="X94" s="159"/>
      <c r="Y94" s="17">
        <f>(Vcc_max^2/Rlstart)*(1/6-(D20^2/2/Vcc_max^2)+(D20^3/3/Vcc_max^3))*Tchg_dvdt</f>
        <v>2.9152499999999995</v>
      </c>
      <c r="Z94" s="17">
        <f>30.81*I93^(-0.31)*I93*0.8</f>
        <v>133.1017899445684</v>
      </c>
      <c r="AA94" s="17">
        <f>(Tchg_dvdt/Rlstart)*(((Vcc_max-5.6)^2/2)-((Vcc_max-5.6)^3/3/Vcc_max)-(D20^2/2)+(D20^3/3/Vcc_max))</f>
        <v>0.58206600000000042</v>
      </c>
      <c r="AS94" s="159"/>
    </row>
    <row r="95" spans="2:45" ht="26.1" customHeight="1" x14ac:dyDescent="0.25">
      <c r="B95" s="149"/>
      <c r="C95" s="150" t="s">
        <v>169</v>
      </c>
      <c r="D95" s="274" t="str">
        <f>IF(Vcc_max&lt;=5.6,IF(D24&lt;=-40,AA100,IF(D24&lt;=25,AA98,IF(D24&lt;=85,AA97,IF(D24&lt;=125,AA99)))),IF(D24&lt;=-40,AR96,IF(D24&lt;=25,AF96,IF(D24&lt;=85,AA96,IF(D24&lt;=125,AL96)))))</f>
        <v>YES</v>
      </c>
      <c r="E95" s="275"/>
      <c r="F95" s="275"/>
      <c r="G95" s="275"/>
      <c r="H95" s="275"/>
      <c r="I95" s="275"/>
      <c r="J95" s="275"/>
      <c r="L95"/>
      <c r="M95" s="41"/>
      <c r="N95" s="41"/>
      <c r="O95" s="41"/>
      <c r="P95" s="41"/>
      <c r="Q95" s="41"/>
      <c r="R95" s="41"/>
      <c r="S95" s="41"/>
      <c r="T95" s="41"/>
      <c r="U95" s="251"/>
      <c r="V95" s="251"/>
      <c r="W95" s="159"/>
      <c r="X95" s="159"/>
      <c r="Y95" s="17">
        <f>Y93+Y94</f>
        <v>3.5920499999999995</v>
      </c>
      <c r="AA95" s="17">
        <f>AA93+AA94</f>
        <v>1.1114740000000005</v>
      </c>
      <c r="AS95" s="159"/>
    </row>
    <row r="96" spans="2:45" ht="16.350000000000001" customHeight="1" x14ac:dyDescent="0.25">
      <c r="B96" s="157" t="s">
        <v>168</v>
      </c>
      <c r="C96" s="157"/>
      <c r="D96" s="158" t="str">
        <f>IF(Vcc_max&gt;=5.6,IF(D95="YES","    We recommend verify startup on EVM for particular system test case"," ")," ")</f>
        <v xml:space="preserve">    We recommend verify startup on EVM for particular system test case</v>
      </c>
      <c r="E96" s="158"/>
      <c r="F96" s="158"/>
      <c r="G96" s="158"/>
      <c r="H96" s="158"/>
      <c r="I96" s="158"/>
      <c r="J96"/>
      <c r="L96"/>
      <c r="M96"/>
      <c r="N96"/>
      <c r="U96" s="250"/>
      <c r="V96" s="250"/>
      <c r="W96" s="159"/>
      <c r="X96" s="159"/>
      <c r="AA96" s="41" t="str">
        <f>IF(AB93&lt;Z94,IF(Y95&lt;Z90,"YES","NO, Increase Rlstart and/or Tchg_req; and/or Reduce Cout"),"NO, Increase Rlstart and/or Tchg_req; and/or Reduce Cout")</f>
        <v>YES</v>
      </c>
      <c r="AF96" s="17" t="str">
        <f>IF(AB93&lt;Z94,IF(Y95&lt;Z91,"YES","NO, Increase Rlstart and/or Tchg_req; and/or Reduce Cout"),"NO, Increase Rlstart and/or Tchg_req; and/or Reduce Cout")</f>
        <v>YES</v>
      </c>
      <c r="AL96" s="17" t="str">
        <f>IF(AB93&lt;Z94,IF(Y95&lt;Z93,"YES","NO, Increase Rlstart and/or Tchg_req; and/or Reduce Cout"),"NO, Increase Rlstart and/or Tchg_req; and/or Reduce Cout")</f>
        <v>YES</v>
      </c>
      <c r="AR96" s="17" t="str">
        <f>IF(AB93&lt;Z94,IF(Y95&lt;Z89,"YES","NO, Increase Rlstart and/or Tchg_req; and/or Reduce Cout"),"NO, Increase Rlstart and/or Tchg_req; and/or Reduce Cout")</f>
        <v>YES</v>
      </c>
      <c r="AS96" s="159"/>
    </row>
    <row r="97" spans="2:45" ht="16.350000000000001" customHeight="1" x14ac:dyDescent="0.25">
      <c r="B97"/>
      <c r="C97"/>
      <c r="D97"/>
      <c r="E97" s="154"/>
      <c r="F97" s="154"/>
      <c r="G97" s="154"/>
      <c r="H97" s="154"/>
      <c r="I97" s="154"/>
      <c r="J97" s="154"/>
      <c r="L97" s="19"/>
      <c r="M97" s="19"/>
      <c r="U97" s="250"/>
      <c r="V97" s="250"/>
      <c r="W97" s="159"/>
      <c r="X97" s="159"/>
      <c r="AA97" s="41" t="str">
        <f>IF(Y95&lt;Z90,"YES","NO, Increase Rlstart and/or Tchg_req; and/or Reduce Cout")</f>
        <v>YES</v>
      </c>
      <c r="AS97" s="159"/>
    </row>
    <row r="98" spans="2:45" ht="16.350000000000001" customHeight="1" x14ac:dyDescent="0.25">
      <c r="B98"/>
      <c r="C98"/>
      <c r="D98"/>
      <c r="E98" s="154"/>
      <c r="F98" s="154"/>
      <c r="G98" s="154"/>
      <c r="H98" s="154"/>
      <c r="I98" s="154"/>
      <c r="J98" s="154"/>
      <c r="L98" s="19"/>
      <c r="M98" s="19"/>
      <c r="U98" s="250"/>
      <c r="V98" s="250"/>
      <c r="W98" s="159"/>
      <c r="X98" s="159"/>
      <c r="Y98" s="17">
        <f>0.5*Vcc_max*Icharge/10^3</f>
        <v>3.1333333333333331E-2</v>
      </c>
      <c r="Z98" s="17">
        <f>23.97*Tchg_dvdt^(-0.33)*0.8</f>
        <v>6.9564598540468596</v>
      </c>
      <c r="AA98" t="str">
        <f>IF(Y95&lt;Z91,"YES","NO, Increase Rlstart and/or Tchg_req; and/or Reduce Cout")</f>
        <v>YES</v>
      </c>
      <c r="AS98" s="159"/>
    </row>
    <row r="99" spans="2:45" ht="16.350000000000001" customHeight="1" x14ac:dyDescent="0.25">
      <c r="B99"/>
      <c r="C99"/>
      <c r="D99"/>
      <c r="E99" s="154"/>
      <c r="F99" s="154"/>
      <c r="G99" s="154"/>
      <c r="H99" s="154"/>
      <c r="I99" s="154"/>
      <c r="J99" s="154"/>
      <c r="L99" s="19"/>
      <c r="M99" s="19"/>
      <c r="U99" s="250"/>
      <c r="V99" s="250"/>
      <c r="W99" s="159"/>
      <c r="X99" s="159"/>
      <c r="Y99" s="17">
        <f>(Vcc_max^2/Rlstart)*(1/6-(D20^2/2/Vcc_max^2)+(D20^3/3/Vcc_max^3))</f>
        <v>0.13496527777777775</v>
      </c>
      <c r="Z99" s="17">
        <f>37.14*Tchg_dvdt^(-0.31)*0.51</f>
        <v>7.3068705378967405</v>
      </c>
      <c r="AA99" t="str">
        <f>IF(Y95&lt;Z93,"YES","NO, Increase Rlstart and/or Tchg_req; and/or Reduce Cout")</f>
        <v>YES</v>
      </c>
      <c r="AS99" s="159"/>
    </row>
    <row r="100" spans="2:45" ht="16.350000000000001" customHeight="1" x14ac:dyDescent="0.25">
      <c r="B100"/>
      <c r="C100"/>
      <c r="D100"/>
      <c r="E100" s="154"/>
      <c r="F100" s="154"/>
      <c r="G100" s="154"/>
      <c r="H100" s="154"/>
      <c r="I100" s="154"/>
      <c r="J100" s="154"/>
      <c r="L100" s="19"/>
      <c r="M100" s="19"/>
      <c r="U100" s="250"/>
      <c r="V100" s="250"/>
      <c r="W100" s="159"/>
      <c r="X100" s="159"/>
      <c r="Y100" s="17">
        <f>Y98+Y99</f>
        <v>0.16629861111111108</v>
      </c>
      <c r="Z100" s="17">
        <f>30.81*I93^(-0.31)*0.8</f>
        <v>11.553974821577116</v>
      </c>
      <c r="AA100" t="str">
        <f>IF(Y96&lt;Z89,"YES","NO, Increase Rlstart and/or Tchg_req; and/or Reduce Cout")</f>
        <v>YES</v>
      </c>
      <c r="AS100" s="159"/>
    </row>
    <row r="101" spans="2:45" ht="18" customHeight="1" thickBot="1" x14ac:dyDescent="0.3">
      <c r="U101" s="250"/>
      <c r="V101" s="250"/>
      <c r="W101" s="159"/>
      <c r="X101" s="159"/>
      <c r="AS101" s="159"/>
    </row>
    <row r="102" spans="2:45" ht="27" customHeight="1" thickBot="1" x14ac:dyDescent="0.3">
      <c r="B102" s="259" t="s">
        <v>33</v>
      </c>
      <c r="C102" s="260"/>
      <c r="D102" s="260"/>
      <c r="E102" s="272"/>
      <c r="F102" s="63"/>
      <c r="L102"/>
      <c r="M102"/>
    </row>
    <row r="103" spans="2:45" ht="33.6" customHeight="1" x14ac:dyDescent="0.25">
      <c r="B103" s="65" t="s">
        <v>0</v>
      </c>
      <c r="C103" s="66" t="s">
        <v>1</v>
      </c>
      <c r="D103" s="67" t="s">
        <v>2</v>
      </c>
      <c r="E103" s="68" t="s">
        <v>3</v>
      </c>
      <c r="F103" s="69" t="s">
        <v>50</v>
      </c>
      <c r="G103"/>
      <c r="H103"/>
      <c r="I103"/>
      <c r="J103" s="96"/>
      <c r="K103" s="70"/>
      <c r="L103"/>
      <c r="M103"/>
    </row>
    <row r="104" spans="2:45" ht="18" customHeight="1" x14ac:dyDescent="0.25">
      <c r="B104" s="46" t="s">
        <v>25</v>
      </c>
      <c r="C104" s="47" t="s">
        <v>27</v>
      </c>
      <c r="D104" s="141">
        <f>Imax*Rdson_25deg</f>
        <v>5.6000000000000005</v>
      </c>
      <c r="E104" s="21" t="s">
        <v>26</v>
      </c>
      <c r="F104" s="27"/>
      <c r="L104"/>
      <c r="M104"/>
    </row>
    <row r="105" spans="2:45" ht="18" customHeight="1" thickBot="1" x14ac:dyDescent="0.3">
      <c r="B105" s="53" t="s">
        <v>71</v>
      </c>
      <c r="C105" s="54" t="s">
        <v>28</v>
      </c>
      <c r="D105" s="142">
        <f>Imax^2*Rdson_25deg</f>
        <v>1.1200000000000001</v>
      </c>
      <c r="E105" s="64" t="s">
        <v>29</v>
      </c>
      <c r="F105" s="44"/>
      <c r="L105"/>
      <c r="M105"/>
    </row>
    <row r="106" spans="2:45" ht="18" customHeight="1" thickBot="1" x14ac:dyDescent="0.3">
      <c r="B106" s="23"/>
      <c r="C106" s="34"/>
      <c r="E106" s="24"/>
      <c r="L106"/>
      <c r="M106"/>
    </row>
    <row r="107" spans="2:45" ht="18" customHeight="1" thickBot="1" x14ac:dyDescent="0.3">
      <c r="B107" s="276" t="s">
        <v>188</v>
      </c>
      <c r="C107" s="277"/>
      <c r="D107" s="277"/>
      <c r="E107" s="278"/>
      <c r="F107" s="176"/>
      <c r="L107"/>
      <c r="M107"/>
    </row>
    <row r="108" spans="2:45" ht="18" customHeight="1" thickBot="1" x14ac:dyDescent="0.3">
      <c r="B108" s="178" t="s">
        <v>0</v>
      </c>
      <c r="C108" s="179" t="s">
        <v>1</v>
      </c>
      <c r="D108" s="180" t="s">
        <v>2</v>
      </c>
      <c r="E108" s="181" t="s">
        <v>3</v>
      </c>
      <c r="F108" s="178" t="s">
        <v>50</v>
      </c>
      <c r="L108"/>
      <c r="M108"/>
    </row>
    <row r="109" spans="2:45" ht="18" customHeight="1" thickBot="1" x14ac:dyDescent="0.3">
      <c r="B109" s="144" t="s">
        <v>190</v>
      </c>
      <c r="C109" s="145" t="s">
        <v>189</v>
      </c>
      <c r="D109" s="177">
        <f>D23*1.8/1.5</f>
        <v>2.4</v>
      </c>
      <c r="E109" s="146" t="s">
        <v>8</v>
      </c>
      <c r="F109" s="182"/>
      <c r="L109"/>
      <c r="M109"/>
    </row>
    <row r="110" spans="2:45" ht="18" customHeight="1" thickBot="1" x14ac:dyDescent="0.3">
      <c r="B110" s="144" t="s">
        <v>191</v>
      </c>
      <c r="C110" s="145" t="s">
        <v>224</v>
      </c>
      <c r="D110" s="252">
        <f>G110</f>
        <v>2.7</v>
      </c>
      <c r="E110" s="146" t="s">
        <v>8</v>
      </c>
      <c r="F110" s="183">
        <v>0.1</v>
      </c>
      <c r="G110" s="24">
        <f>INDEX('Cap Tables'!B4:B75,1+MATCH(D109,'Cap Tables'!B4:B75))</f>
        <v>2.7</v>
      </c>
      <c r="L110"/>
      <c r="M110"/>
    </row>
    <row r="111" spans="2:45" ht="18" customHeight="1" thickBot="1" x14ac:dyDescent="0.3">
      <c r="B111" s="144" t="s">
        <v>192</v>
      </c>
      <c r="C111" s="145" t="s">
        <v>193</v>
      </c>
      <c r="D111" s="177">
        <f>D110*1.5/1.8</f>
        <v>2.2500000000000004</v>
      </c>
      <c r="E111" s="146" t="s">
        <v>5</v>
      </c>
      <c r="F111" s="182"/>
      <c r="L111"/>
      <c r="M111"/>
    </row>
    <row r="112" spans="2:45" ht="18" customHeight="1" x14ac:dyDescent="0.25">
      <c r="E112" s="24"/>
      <c r="L112"/>
      <c r="M112"/>
    </row>
    <row r="113" spans="2:7" ht="18" customHeight="1" x14ac:dyDescent="0.25">
      <c r="B113" s="273" t="s">
        <v>15</v>
      </c>
      <c r="C113" s="273"/>
      <c r="D113" s="25"/>
      <c r="G113" s="118"/>
    </row>
    <row r="114" spans="2:7" ht="18" customHeight="1" x14ac:dyDescent="0.25">
      <c r="B114" s="30" t="s">
        <v>24</v>
      </c>
      <c r="D114" s="25"/>
    </row>
    <row r="115" spans="2:7" ht="18" customHeight="1" x14ac:dyDescent="0.25">
      <c r="B115" s="28" t="s">
        <v>0</v>
      </c>
      <c r="C115" s="35" t="s">
        <v>1</v>
      </c>
      <c r="D115" s="29" t="s">
        <v>2</v>
      </c>
      <c r="E115" s="28" t="s">
        <v>3</v>
      </c>
      <c r="F115" s="28" t="s">
        <v>50</v>
      </c>
    </row>
    <row r="116" spans="2:7" ht="18" customHeight="1" x14ac:dyDescent="0.25">
      <c r="B116" s="93" t="s">
        <v>158</v>
      </c>
      <c r="C116" s="73" t="s">
        <v>159</v>
      </c>
      <c r="D116" s="94">
        <v>23</v>
      </c>
      <c r="E116" s="21" t="s">
        <v>6</v>
      </c>
      <c r="F116" s="91"/>
    </row>
    <row r="117" spans="2:7" ht="18" customHeight="1" x14ac:dyDescent="0.25">
      <c r="B117" s="93" t="s">
        <v>16</v>
      </c>
      <c r="C117" s="73" t="s">
        <v>17</v>
      </c>
      <c r="D117" s="94">
        <v>5.5</v>
      </c>
      <c r="E117" s="21" t="s">
        <v>4</v>
      </c>
      <c r="F117" s="91"/>
    </row>
    <row r="118" spans="2:7" ht="18" customHeight="1" x14ac:dyDescent="0.25">
      <c r="B118" s="93" t="s">
        <v>156</v>
      </c>
      <c r="C118" s="73" t="s">
        <v>157</v>
      </c>
      <c r="D118" s="94">
        <v>28</v>
      </c>
      <c r="E118" s="21" t="s">
        <v>18</v>
      </c>
      <c r="F118" s="91"/>
    </row>
    <row r="119" spans="2:7" ht="18" customHeight="1" x14ac:dyDescent="0.25">
      <c r="B119"/>
      <c r="C119"/>
      <c r="D119"/>
      <c r="E119"/>
      <c r="F119"/>
    </row>
    <row r="120" spans="2:7" ht="18" customHeight="1" x14ac:dyDescent="0.25">
      <c r="B120" s="30" t="s">
        <v>23</v>
      </c>
      <c r="D120" s="25"/>
    </row>
    <row r="121" spans="2:7" ht="18" customHeight="1" x14ac:dyDescent="0.25">
      <c r="B121" s="93" t="s">
        <v>19</v>
      </c>
      <c r="C121" s="73" t="s">
        <v>21</v>
      </c>
      <c r="D121" s="94">
        <v>150</v>
      </c>
      <c r="E121" s="26" t="s">
        <v>64</v>
      </c>
      <c r="F121" s="92"/>
    </row>
    <row r="122" spans="2:7" ht="18" customHeight="1" x14ac:dyDescent="0.25">
      <c r="B122" s="93" t="s">
        <v>66</v>
      </c>
      <c r="C122" s="73" t="s">
        <v>22</v>
      </c>
      <c r="D122" s="94">
        <v>41.7</v>
      </c>
      <c r="E122" s="26" t="s">
        <v>65</v>
      </c>
      <c r="F122" s="92"/>
    </row>
    <row r="123" spans="2:7" customFormat="1" ht="18" customHeight="1" x14ac:dyDescent="0.25"/>
    <row r="124" spans="2:7" ht="18" customHeight="1" x14ac:dyDescent="0.25">
      <c r="B124" s="30" t="s">
        <v>40</v>
      </c>
      <c r="D124" s="25"/>
    </row>
    <row r="125" spans="2:7" ht="18" customHeight="1" x14ac:dyDescent="0.25">
      <c r="B125" s="93" t="s">
        <v>67</v>
      </c>
      <c r="C125" s="73" t="s">
        <v>98</v>
      </c>
      <c r="D125" s="95">
        <v>1.1000000000000001</v>
      </c>
      <c r="E125" s="21" t="s">
        <v>6</v>
      </c>
      <c r="F125" s="91">
        <v>6.3E-2</v>
      </c>
    </row>
    <row r="126" spans="2:7" ht="18" customHeight="1" x14ac:dyDescent="0.25">
      <c r="B126" s="93" t="s">
        <v>83</v>
      </c>
      <c r="C126" s="73" t="s">
        <v>97</v>
      </c>
      <c r="D126" s="95">
        <v>1.2</v>
      </c>
      <c r="E126" s="21" t="s">
        <v>6</v>
      </c>
      <c r="F126" s="91">
        <v>0.03</v>
      </c>
    </row>
    <row r="127" spans="2:7" ht="18" customHeight="1" x14ac:dyDescent="0.25">
      <c r="B127" s="93" t="s">
        <v>87</v>
      </c>
      <c r="C127" s="73" t="s">
        <v>85</v>
      </c>
      <c r="D127" s="95">
        <v>182</v>
      </c>
      <c r="E127" s="21" t="s">
        <v>86</v>
      </c>
      <c r="F127" s="91">
        <v>3.6999999999999998E-2</v>
      </c>
    </row>
    <row r="128" spans="2:7" ht="18" customHeight="1" x14ac:dyDescent="0.25">
      <c r="B128" s="93" t="s">
        <v>130</v>
      </c>
      <c r="C128" s="73" t="s">
        <v>131</v>
      </c>
      <c r="D128" s="95">
        <v>1.2</v>
      </c>
      <c r="E128" s="21" t="s">
        <v>132</v>
      </c>
      <c r="F128" s="156"/>
    </row>
  </sheetData>
  <sheetProtection password="EAF3" sheet="1" formatColumns="0" formatRows="0" selectLockedCells="1"/>
  <protectedRanges>
    <protectedRange sqref="D86 F86 D81:D82 D16 D18:D19 F18 D21 D11:D12 D24 F110" name="UserInputs"/>
    <protectedRange sqref="D64 D61 F61" name="UserInputs_1"/>
    <protectedRange sqref="D10" name="UserInputs_3"/>
    <protectedRange sqref="D22" name="UserInputs_2"/>
    <protectedRange sqref="D27" name="UserInputs_4"/>
    <protectedRange sqref="D35 F35 D32 F32" name="UserInputs_5"/>
    <protectedRange sqref="D72 F72" name="UserInputs_6"/>
  </protectedRanges>
  <mergeCells count="16">
    <mergeCell ref="P2:U2"/>
    <mergeCell ref="B102:E102"/>
    <mergeCell ref="B47:C47"/>
    <mergeCell ref="B113:C113"/>
    <mergeCell ref="D95:J95"/>
    <mergeCell ref="B107:E107"/>
    <mergeCell ref="B1:G1"/>
    <mergeCell ref="B85:D85"/>
    <mergeCell ref="B76:F76"/>
    <mergeCell ref="B92:F92"/>
    <mergeCell ref="B41:F41"/>
    <mergeCell ref="B26:C26"/>
    <mergeCell ref="B30:C30"/>
    <mergeCell ref="B34:D34"/>
    <mergeCell ref="B69:F69"/>
    <mergeCell ref="B71:D71"/>
  </mergeCells>
  <conditionalFormatting sqref="D21">
    <cfRule type="cellIs" dxfId="19" priority="43" operator="greaterThan">
      <formula>5.5</formula>
    </cfRule>
  </conditionalFormatting>
  <conditionalFormatting sqref="D18">
    <cfRule type="expression" dxfId="18" priority="33" stopIfTrue="1">
      <formula>$D$95&lt;&gt;"YES"</formula>
    </cfRule>
  </conditionalFormatting>
  <conditionalFormatting sqref="D82">
    <cfRule type="cellIs" dxfId="17" priority="32" operator="greaterThan">
      <formula>$D$73</formula>
    </cfRule>
  </conditionalFormatting>
  <conditionalFormatting sqref="D81">
    <cfRule type="expression" dxfId="16" priority="31">
      <formula>$D$95&lt;&gt;"YES"</formula>
    </cfRule>
  </conditionalFormatting>
  <conditionalFormatting sqref="D12">
    <cfRule type="cellIs" dxfId="15" priority="51" operator="greaterThan">
      <formula>$D$15</formula>
    </cfRule>
  </conditionalFormatting>
  <conditionalFormatting sqref="D16">
    <cfRule type="cellIs" dxfId="14" priority="23" operator="greaterThanOrEqual">
      <formula>$D$12</formula>
    </cfRule>
  </conditionalFormatting>
  <conditionalFormatting sqref="D54">
    <cfRule type="cellIs" dxfId="13" priority="21" operator="lessThan">
      <formula>1</formula>
    </cfRule>
  </conditionalFormatting>
  <conditionalFormatting sqref="D16">
    <cfRule type="cellIs" dxfId="12" priority="66" operator="lessThan">
      <formula>$D$17</formula>
    </cfRule>
  </conditionalFormatting>
  <conditionalFormatting sqref="D67">
    <cfRule type="cellIs" dxfId="11" priority="18" operator="lessThan">
      <formula>10</formula>
    </cfRule>
  </conditionalFormatting>
  <conditionalFormatting sqref="D15">
    <cfRule type="cellIs" dxfId="10" priority="13" operator="greaterThan">
      <formula>23</formula>
    </cfRule>
  </conditionalFormatting>
  <conditionalFormatting sqref="D95">
    <cfRule type="cellIs" dxfId="9" priority="11" stopIfTrue="1" operator="equal">
      <formula>"YES"</formula>
    </cfRule>
    <cfRule type="cellIs" dxfId="8" priority="12" operator="notEqual">
      <formula>"YES"</formula>
    </cfRule>
  </conditionalFormatting>
  <conditionalFormatting sqref="D20">
    <cfRule type="cellIs" dxfId="7" priority="10" operator="greaterThanOrEqual">
      <formula>$D$12</formula>
    </cfRule>
  </conditionalFormatting>
  <conditionalFormatting sqref="D11">
    <cfRule type="cellIs" dxfId="6" priority="7" operator="greaterThan">
      <formula>$D$13</formula>
    </cfRule>
  </conditionalFormatting>
  <conditionalFormatting sqref="D22">
    <cfRule type="cellIs" dxfId="5" priority="6" operator="lessThan">
      <formula>$D$21</formula>
    </cfRule>
  </conditionalFormatting>
  <conditionalFormatting sqref="D38">
    <cfRule type="cellIs" dxfId="4" priority="4" operator="lessThan">
      <formula>1</formula>
    </cfRule>
  </conditionalFormatting>
  <conditionalFormatting sqref="D89">
    <cfRule type="cellIs" dxfId="3" priority="3" operator="lessThan">
      <formula>$D$80</formula>
    </cfRule>
  </conditionalFormatting>
  <conditionalFormatting sqref="D88">
    <cfRule type="cellIs" dxfId="2" priority="2" operator="equal">
      <formula>TRUE</formula>
    </cfRule>
  </conditionalFormatting>
  <conditionalFormatting sqref="D19">
    <cfRule type="cellIs" dxfId="1" priority="101" stopIfTrue="1" operator="lessThan">
      <formula>$G$19</formula>
    </cfRule>
    <cfRule type="expression" dxfId="0" priority="102" stopIfTrue="1">
      <formula>$D$95&lt;&gt;"YES"</formula>
    </cfRule>
  </conditionalFormatting>
  <dataValidations xWindow="671" yWindow="631" count="21">
    <dataValidation type="decimal" operator="lessThanOrEqual" allowBlank="1" showInputMessage="1" showErrorMessage="1" errorTitle="Error (Reenter the Value)" error="Enter a value less than Ilimit_final" promptTitle="Restriction" prompt="Enter a value less than Ilimit_final" sqref="D82" xr:uid="{00000000-0002-0000-0000-000000000000}">
      <formula1>D73</formula1>
    </dataValidation>
    <dataValidation errorTitle="Error (Reenter the Value)" error="Only values greater than UVref will be accepted" promptTitle="Restriction" prompt="Please enter a value greater than UVref" sqref="D17" xr:uid="{00000000-0002-0000-0000-000001000000}"/>
    <dataValidation type="decimal" operator="greaterThan" showInputMessage="1" showErrorMessage="1" errorTitle="ERROR!!" error="Start-up Load Resistor is &lt; VCC(max)/Imax, this will prevent start-up." prompt="Start-up Load must be &gt; VCC(max)/Imax" sqref="D19" xr:uid="{00000000-0002-0000-0000-000002000000}">
      <formula1>G19</formula1>
    </dataValidation>
    <dataValidation type="decimal" operator="greaterThanOrEqual" allowBlank="1" showInputMessage="1" showErrorMessage="1" errorTitle="Error (Reenter the Value)" error="Only values &gt;= Tchg_fastest will be accepted" promptTitle="Restriction" prompt="Enter a value &gt;= Tchg_fastest" sqref="D81" xr:uid="{00000000-0002-0000-0000-000003000000}">
      <formula1>D80</formula1>
    </dataValidation>
    <dataValidation type="decimal" operator="lessThanOrEqual" allowBlank="1" showInputMessage="1" showErrorMessage="1" error="Imax &lt;= 5.5 ,Recommended operating conditions" prompt="Imax &lt;= 5.5 A" sqref="D21" xr:uid="{00000000-0002-0000-0000-000005000000}">
      <formula1>5.5</formula1>
    </dataValidation>
    <dataValidation type="custom" showInputMessage="1" showErrorMessage="1" errorTitle="Error (Reenter the Value)" error="Only values greater than Tchg_min will be accepted" promptTitle="Restriction" prompt="Please enter a value greater than Tchg_min calculated" sqref="K91" xr:uid="{00000000-0002-0000-0000-000007000000}">
      <formula1>K91&gt;K90</formula1>
    </dataValidation>
    <dataValidation allowBlank="1" showInputMessage="1" showErrorMessage="1" prompt="Considered 20% as design margin" sqref="D95" xr:uid="{1665AC74-FC81-46E8-B54D-27F0DF7B27A4}"/>
    <dataValidation operator="greaterThanOrEqual" allowBlank="1" showInputMessage="1" showErrorMessage="1" error="Use OPEN or &gt;=1 nF" prompt="Use OPEN or &gt;=1 nF" sqref="D86" xr:uid="{00000000-0002-0000-0000-000009000000}"/>
    <dataValidation type="decimal" operator="lessThanOrEqual" showInputMessage="1" showErrorMessage="1" error="VIN(operating max) must be &lt; OVLO Set Point" prompt="VIN(max) must be &lt; OVLO Set Point" sqref="D12" xr:uid="{00000000-0002-0000-0000-00000B000000}">
      <formula1>D15</formula1>
    </dataValidation>
    <dataValidation type="decimal" operator="lessThanOrEqual" allowBlank="1" showInputMessage="1" showErrorMessage="1" error="UVset must be &gt;VUVP and &lt; VIN(max)  " prompt="UVset must be &gt;VUVP and &lt; VIN(max)   " sqref="D16" xr:uid="{00000000-0002-0000-0000-00000D000000}">
      <formula1>D12</formula1>
    </dataValidation>
    <dataValidation type="decimal" operator="lessThanOrEqual" allowBlank="1" showInputMessage="1" showErrorMessage="1" error="PG threshold should be less than maximum input voltage " sqref="D60" xr:uid="{00000000-0002-0000-0000-00000E000000}">
      <formula1>Vcc_max</formula1>
    </dataValidation>
    <dataValidation type="decimal" allowBlank="1" showInputMessage="1" showErrorMessage="1" error="-40 &lt; TA,MAX &lt;= 125" prompt="-40 &lt; TA,MAX &lt;= 125" sqref="D24" xr:uid="{00000000-0002-0000-0000-00000F000000}">
      <formula1>-40</formula1>
      <formula2>125</formula2>
    </dataValidation>
    <dataValidation allowBlank="1" showInputMessage="1" showErrorMessage="1" prompt="Select R1, R2 and R3 such that I_R123 is &gt; 1 uA" sqref="D54" xr:uid="{00000000-0002-0000-0000-000013000000}"/>
    <dataValidation allowBlank="1" showInputMessage="1" showErrorMessage="1" prompt="Select R4 and R5 such that I_R45 &gt; 10uA" sqref="D67" xr:uid="{E611E73A-B5EB-4FD5-9515-A8FD1E0EB663}"/>
    <dataValidation type="decimal" operator="lessThanOrEqual" allowBlank="1" showInputMessage="1" showErrorMessage="1" error="OVLO Set Point Should be &lt; 23V" prompt="OVLO set point should be less than maximum recommended input voltage" sqref="D15" xr:uid="{043D9714-F1D4-4745-82E3-E8452A70321B}">
      <formula1>23</formula1>
    </dataValidation>
    <dataValidation type="decimal" operator="lessThan" allowBlank="1" showInputMessage="1" showErrorMessage="1" prompt="Enter value less than maximum input voltage" sqref="D20" xr:uid="{99C0750F-3260-465F-A2BB-0B7050307D36}">
      <formula1>Vcc_max</formula1>
    </dataValidation>
    <dataValidation type="list" allowBlank="1" showInputMessage="1" showErrorMessage="1" error="Choose from the drop-down list" sqref="D10" xr:uid="{7055A340-37D0-4EAB-B5B6-90FC959991B5}">
      <formula1>$P$4:$P$7</formula1>
    </dataValidation>
    <dataValidation type="decimal" operator="lessThanOrEqual" showInputMessage="1" showErrorMessage="1" error="VIN(operating max) must be &lt; OVC" prompt="VIN(max) must be &lt; OVC_x000a_" sqref="D11" xr:uid="{F7E7AA60-6E83-4811-BE44-5EF7BE40F218}">
      <formula1>D13</formula1>
    </dataValidation>
    <dataValidation type="list" allowBlank="1" showInputMessage="1" showErrorMessage="1" sqref="D13" xr:uid="{523EBC99-E180-4839-AFAE-9D9DCA526E75}">
      <formula1>$W$3:$Y$3</formula1>
    </dataValidation>
    <dataValidation type="decimal" allowBlank="1" showInputMessage="1" showErrorMessage="1" error="0.5 &lt;= Ilimit &lt;= 6" prompt="0.5 &lt;= Ilimit &lt;= 6" sqref="D22" xr:uid="{8D272E9B-4381-48F1-BE76-B18107ADDB8E}">
      <formula1>0.5</formula1>
      <formula2>6</formula2>
    </dataValidation>
    <dataValidation allowBlank="1" showInputMessage="1" showErrorMessage="1" prompt="Select R1 and R2 such that I_R12 is &gt; 1 uA" sqref="D38" xr:uid="{D3641360-9B4A-40FA-99A2-27796DB02C76}"/>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00FF"/>
  </sheetPr>
  <dimension ref="A1:I197"/>
  <sheetViews>
    <sheetView workbookViewId="0">
      <pane ySplit="4" topLeftCell="A5" activePane="bottomLeft" state="frozen"/>
      <selection activeCell="G170" sqref="G170"/>
      <selection pane="bottomLeft" activeCell="G7" sqref="G7"/>
    </sheetView>
  </sheetViews>
  <sheetFormatPr defaultRowHeight="15" x14ac:dyDescent="0.25"/>
  <cols>
    <col min="1" max="6" width="18.5703125" customWidth="1"/>
    <col min="257" max="262" width="18.5703125" customWidth="1"/>
    <col min="513" max="518" width="18.5703125" customWidth="1"/>
    <col min="769" max="774" width="18.5703125" customWidth="1"/>
    <col min="1025" max="1030" width="18.5703125" customWidth="1"/>
    <col min="1281" max="1286" width="18.5703125" customWidth="1"/>
    <col min="1537" max="1542" width="18.5703125" customWidth="1"/>
    <col min="1793" max="1798" width="18.5703125" customWidth="1"/>
    <col min="2049" max="2054" width="18.5703125" customWidth="1"/>
    <col min="2305" max="2310" width="18.5703125" customWidth="1"/>
    <col min="2561" max="2566" width="18.5703125" customWidth="1"/>
    <col min="2817" max="2822" width="18.5703125" customWidth="1"/>
    <col min="3073" max="3078" width="18.5703125" customWidth="1"/>
    <col min="3329" max="3334" width="18.5703125" customWidth="1"/>
    <col min="3585" max="3590" width="18.5703125" customWidth="1"/>
    <col min="3841" max="3846" width="18.5703125" customWidth="1"/>
    <col min="4097" max="4102" width="18.5703125" customWidth="1"/>
    <col min="4353" max="4358" width="18.5703125" customWidth="1"/>
    <col min="4609" max="4614" width="18.5703125" customWidth="1"/>
    <col min="4865" max="4870" width="18.5703125" customWidth="1"/>
    <col min="5121" max="5126" width="18.5703125" customWidth="1"/>
    <col min="5377" max="5382" width="18.5703125" customWidth="1"/>
    <col min="5633" max="5638" width="18.5703125" customWidth="1"/>
    <col min="5889" max="5894" width="18.5703125" customWidth="1"/>
    <col min="6145" max="6150" width="18.5703125" customWidth="1"/>
    <col min="6401" max="6406" width="18.5703125" customWidth="1"/>
    <col min="6657" max="6662" width="18.5703125" customWidth="1"/>
    <col min="6913" max="6918" width="18.5703125" customWidth="1"/>
    <col min="7169" max="7174" width="18.5703125" customWidth="1"/>
    <col min="7425" max="7430" width="18.5703125" customWidth="1"/>
    <col min="7681" max="7686" width="18.5703125" customWidth="1"/>
    <col min="7937" max="7942" width="18.5703125" customWidth="1"/>
    <col min="8193" max="8198" width="18.5703125" customWidth="1"/>
    <col min="8449" max="8454" width="18.5703125" customWidth="1"/>
    <col min="8705" max="8710" width="18.5703125" customWidth="1"/>
    <col min="8961" max="8966" width="18.5703125" customWidth="1"/>
    <col min="9217" max="9222" width="18.5703125" customWidth="1"/>
    <col min="9473" max="9478" width="18.5703125" customWidth="1"/>
    <col min="9729" max="9734" width="18.5703125" customWidth="1"/>
    <col min="9985" max="9990" width="18.5703125" customWidth="1"/>
    <col min="10241" max="10246" width="18.5703125" customWidth="1"/>
    <col min="10497" max="10502" width="18.5703125" customWidth="1"/>
    <col min="10753" max="10758" width="18.5703125" customWidth="1"/>
    <col min="11009" max="11014" width="18.5703125" customWidth="1"/>
    <col min="11265" max="11270" width="18.5703125" customWidth="1"/>
    <col min="11521" max="11526" width="18.5703125" customWidth="1"/>
    <col min="11777" max="11782" width="18.5703125" customWidth="1"/>
    <col min="12033" max="12038" width="18.5703125" customWidth="1"/>
    <col min="12289" max="12294" width="18.5703125" customWidth="1"/>
    <col min="12545" max="12550" width="18.5703125" customWidth="1"/>
    <col min="12801" max="12806" width="18.5703125" customWidth="1"/>
    <col min="13057" max="13062" width="18.5703125" customWidth="1"/>
    <col min="13313" max="13318" width="18.5703125" customWidth="1"/>
    <col min="13569" max="13574" width="18.5703125" customWidth="1"/>
    <col min="13825" max="13830" width="18.5703125" customWidth="1"/>
    <col min="14081" max="14086" width="18.5703125" customWidth="1"/>
    <col min="14337" max="14342" width="18.5703125" customWidth="1"/>
    <col min="14593" max="14598" width="18.5703125" customWidth="1"/>
    <col min="14849" max="14854" width="18.5703125" customWidth="1"/>
    <col min="15105" max="15110" width="18.5703125" customWidth="1"/>
    <col min="15361" max="15366" width="18.5703125" customWidth="1"/>
    <col min="15617" max="15622" width="18.5703125" customWidth="1"/>
    <col min="15873" max="15878" width="18.5703125" customWidth="1"/>
    <col min="16129" max="16134" width="18.5703125" customWidth="1"/>
  </cols>
  <sheetData>
    <row r="1" spans="1:9" ht="21" x14ac:dyDescent="0.35">
      <c r="A1" s="284" t="s">
        <v>51</v>
      </c>
      <c r="B1" s="284"/>
      <c r="C1" s="284"/>
      <c r="D1" s="284"/>
      <c r="E1" s="284"/>
      <c r="F1" s="284"/>
    </row>
    <row r="3" spans="1:9" x14ac:dyDescent="0.25">
      <c r="A3" s="2">
        <v>0.2</v>
      </c>
      <c r="B3" s="2">
        <v>0.1</v>
      </c>
      <c r="C3" s="2">
        <v>0.05</v>
      </c>
      <c r="D3" s="2">
        <v>0.02</v>
      </c>
      <c r="E3" s="2">
        <v>0.01</v>
      </c>
      <c r="F3" s="3" t="s">
        <v>52</v>
      </c>
    </row>
    <row r="4" spans="1:9" x14ac:dyDescent="0.25">
      <c r="A4" s="4" t="s">
        <v>53</v>
      </c>
      <c r="B4" s="4" t="s">
        <v>54</v>
      </c>
      <c r="C4" s="4" t="s">
        <v>55</v>
      </c>
      <c r="D4" s="4" t="s">
        <v>56</v>
      </c>
      <c r="E4" s="4" t="s">
        <v>57</v>
      </c>
      <c r="F4" s="4" t="s">
        <v>58</v>
      </c>
    </row>
    <row r="5" spans="1:9" x14ac:dyDescent="0.25">
      <c r="A5" s="283">
        <v>100</v>
      </c>
      <c r="B5" s="281">
        <v>100</v>
      </c>
      <c r="C5" s="282">
        <v>100</v>
      </c>
      <c r="D5" s="280">
        <v>100</v>
      </c>
      <c r="E5" s="279">
        <v>100</v>
      </c>
      <c r="F5" s="5">
        <v>100</v>
      </c>
    </row>
    <row r="6" spans="1:9" x14ac:dyDescent="0.25">
      <c r="A6" s="283"/>
      <c r="B6" s="281"/>
      <c r="C6" s="282"/>
      <c r="D6" s="280"/>
      <c r="E6" s="279"/>
      <c r="F6" s="5">
        <v>101</v>
      </c>
    </row>
    <row r="7" spans="1:9" x14ac:dyDescent="0.25">
      <c r="A7" s="283"/>
      <c r="B7" s="281"/>
      <c r="C7" s="282"/>
      <c r="D7" s="280"/>
      <c r="E7" s="279">
        <v>102</v>
      </c>
      <c r="F7" s="5">
        <v>102</v>
      </c>
    </row>
    <row r="8" spans="1:9" x14ac:dyDescent="0.25">
      <c r="A8" s="283"/>
      <c r="B8" s="281"/>
      <c r="C8" s="282"/>
      <c r="D8" s="280"/>
      <c r="E8" s="279"/>
      <c r="F8" s="5">
        <v>104</v>
      </c>
    </row>
    <row r="9" spans="1:9" x14ac:dyDescent="0.25">
      <c r="A9" s="283"/>
      <c r="B9" s="281"/>
      <c r="C9" s="282"/>
      <c r="D9" s="280">
        <v>105</v>
      </c>
      <c r="E9" s="279">
        <v>105</v>
      </c>
      <c r="F9" s="5">
        <v>105</v>
      </c>
    </row>
    <row r="10" spans="1:9" x14ac:dyDescent="0.25">
      <c r="A10" s="283"/>
      <c r="B10" s="281"/>
      <c r="C10" s="282"/>
      <c r="D10" s="280"/>
      <c r="E10" s="279"/>
      <c r="F10" s="5">
        <v>106</v>
      </c>
      <c r="I10" s="1"/>
    </row>
    <row r="11" spans="1:9" x14ac:dyDescent="0.25">
      <c r="A11" s="283"/>
      <c r="B11" s="281"/>
      <c r="C11" s="282"/>
      <c r="D11" s="280"/>
      <c r="E11" s="279">
        <v>107</v>
      </c>
      <c r="F11" s="5">
        <v>107</v>
      </c>
    </row>
    <row r="12" spans="1:9" x14ac:dyDescent="0.25">
      <c r="A12" s="283"/>
      <c r="B12" s="281"/>
      <c r="C12" s="282"/>
      <c r="D12" s="280"/>
      <c r="E12" s="279"/>
      <c r="F12" s="5">
        <v>109</v>
      </c>
    </row>
    <row r="13" spans="1:9" x14ac:dyDescent="0.25">
      <c r="A13" s="283"/>
      <c r="B13" s="281"/>
      <c r="C13" s="282">
        <v>110</v>
      </c>
      <c r="D13" s="280">
        <v>110</v>
      </c>
      <c r="E13" s="279">
        <v>110</v>
      </c>
      <c r="F13" s="5">
        <v>110</v>
      </c>
    </row>
    <row r="14" spans="1:9" x14ac:dyDescent="0.25">
      <c r="A14" s="283"/>
      <c r="B14" s="281"/>
      <c r="C14" s="282"/>
      <c r="D14" s="280"/>
      <c r="E14" s="279"/>
      <c r="F14" s="5">
        <v>111</v>
      </c>
    </row>
    <row r="15" spans="1:9" x14ac:dyDescent="0.25">
      <c r="A15" s="283"/>
      <c r="B15" s="281"/>
      <c r="C15" s="282"/>
      <c r="D15" s="280"/>
      <c r="E15" s="279">
        <v>113</v>
      </c>
      <c r="F15" s="5">
        <v>113</v>
      </c>
    </row>
    <row r="16" spans="1:9" x14ac:dyDescent="0.25">
      <c r="A16" s="283"/>
      <c r="B16" s="281"/>
      <c r="C16" s="282"/>
      <c r="D16" s="280"/>
      <c r="E16" s="279"/>
      <c r="F16" s="5">
        <v>114</v>
      </c>
    </row>
    <row r="17" spans="1:6" x14ac:dyDescent="0.25">
      <c r="A17" s="283"/>
      <c r="B17" s="281"/>
      <c r="C17" s="282"/>
      <c r="D17" s="280">
        <v>115</v>
      </c>
      <c r="E17" s="279">
        <v>115</v>
      </c>
      <c r="F17" s="5">
        <v>115</v>
      </c>
    </row>
    <row r="18" spans="1:6" x14ac:dyDescent="0.25">
      <c r="A18" s="283"/>
      <c r="B18" s="281"/>
      <c r="C18" s="282"/>
      <c r="D18" s="280"/>
      <c r="E18" s="279"/>
      <c r="F18" s="5">
        <v>117</v>
      </c>
    </row>
    <row r="19" spans="1:6" x14ac:dyDescent="0.25">
      <c r="A19" s="283"/>
      <c r="B19" s="281"/>
      <c r="C19" s="282"/>
      <c r="D19" s="280"/>
      <c r="E19" s="279">
        <v>118</v>
      </c>
      <c r="F19" s="5">
        <v>118</v>
      </c>
    </row>
    <row r="20" spans="1:6" x14ac:dyDescent="0.25">
      <c r="A20" s="283"/>
      <c r="B20" s="281"/>
      <c r="C20" s="282"/>
      <c r="D20" s="280"/>
      <c r="E20" s="279"/>
      <c r="F20" s="5">
        <v>120</v>
      </c>
    </row>
    <row r="21" spans="1:6" x14ac:dyDescent="0.25">
      <c r="A21" s="283"/>
      <c r="B21" s="281">
        <v>120</v>
      </c>
      <c r="C21" s="282">
        <v>120</v>
      </c>
      <c r="D21" s="280">
        <v>121</v>
      </c>
      <c r="E21" s="279">
        <v>121</v>
      </c>
      <c r="F21" s="5">
        <v>121</v>
      </c>
    </row>
    <row r="22" spans="1:6" x14ac:dyDescent="0.25">
      <c r="A22" s="283"/>
      <c r="B22" s="281"/>
      <c r="C22" s="282"/>
      <c r="D22" s="280"/>
      <c r="E22" s="279"/>
      <c r="F22" s="5">
        <v>123</v>
      </c>
    </row>
    <row r="23" spans="1:6" x14ac:dyDescent="0.25">
      <c r="A23" s="283"/>
      <c r="B23" s="281"/>
      <c r="C23" s="282"/>
      <c r="D23" s="280"/>
      <c r="E23" s="279">
        <v>124</v>
      </c>
      <c r="F23" s="5">
        <v>124</v>
      </c>
    </row>
    <row r="24" spans="1:6" x14ac:dyDescent="0.25">
      <c r="A24" s="283"/>
      <c r="B24" s="281"/>
      <c r="C24" s="282"/>
      <c r="D24" s="280"/>
      <c r="E24" s="279"/>
      <c r="F24" s="5">
        <v>126</v>
      </c>
    </row>
    <row r="25" spans="1:6" x14ac:dyDescent="0.25">
      <c r="A25" s="283"/>
      <c r="B25" s="281"/>
      <c r="C25" s="282"/>
      <c r="D25" s="280">
        <v>127</v>
      </c>
      <c r="E25" s="279">
        <v>127</v>
      </c>
      <c r="F25" s="5">
        <v>127</v>
      </c>
    </row>
    <row r="26" spans="1:6" x14ac:dyDescent="0.25">
      <c r="A26" s="283"/>
      <c r="B26" s="281"/>
      <c r="C26" s="282"/>
      <c r="D26" s="280"/>
      <c r="E26" s="279"/>
      <c r="F26" s="5">
        <v>129</v>
      </c>
    </row>
    <row r="27" spans="1:6" x14ac:dyDescent="0.25">
      <c r="A27" s="283"/>
      <c r="B27" s="281"/>
      <c r="C27" s="282"/>
      <c r="D27" s="280"/>
      <c r="E27" s="279">
        <v>130</v>
      </c>
      <c r="F27" s="5">
        <v>130</v>
      </c>
    </row>
    <row r="28" spans="1:6" x14ac:dyDescent="0.25">
      <c r="A28" s="283"/>
      <c r="B28" s="281"/>
      <c r="C28" s="282"/>
      <c r="D28" s="280"/>
      <c r="E28" s="279"/>
      <c r="F28" s="5">
        <v>132</v>
      </c>
    </row>
    <row r="29" spans="1:6" x14ac:dyDescent="0.25">
      <c r="A29" s="283"/>
      <c r="B29" s="281"/>
      <c r="C29" s="282">
        <v>130</v>
      </c>
      <c r="D29" s="280">
        <v>133</v>
      </c>
      <c r="E29" s="279">
        <v>133</v>
      </c>
      <c r="F29" s="5">
        <v>133</v>
      </c>
    </row>
    <row r="30" spans="1:6" x14ac:dyDescent="0.25">
      <c r="A30" s="283"/>
      <c r="B30" s="281"/>
      <c r="C30" s="282"/>
      <c r="D30" s="280"/>
      <c r="E30" s="279"/>
      <c r="F30" s="5">
        <v>135</v>
      </c>
    </row>
    <row r="31" spans="1:6" x14ac:dyDescent="0.25">
      <c r="A31" s="283"/>
      <c r="B31" s="281"/>
      <c r="C31" s="282"/>
      <c r="D31" s="280"/>
      <c r="E31" s="279">
        <v>137</v>
      </c>
      <c r="F31" s="5">
        <v>137</v>
      </c>
    </row>
    <row r="32" spans="1:6" x14ac:dyDescent="0.25">
      <c r="A32" s="283"/>
      <c r="B32" s="281"/>
      <c r="C32" s="282"/>
      <c r="D32" s="280"/>
      <c r="E32" s="279"/>
      <c r="F32" s="5">
        <v>138</v>
      </c>
    </row>
    <row r="33" spans="1:6" x14ac:dyDescent="0.25">
      <c r="A33" s="283"/>
      <c r="B33" s="281"/>
      <c r="C33" s="282"/>
      <c r="D33" s="280">
        <v>140</v>
      </c>
      <c r="E33" s="279">
        <v>140</v>
      </c>
      <c r="F33" s="5">
        <v>140</v>
      </c>
    </row>
    <row r="34" spans="1:6" x14ac:dyDescent="0.25">
      <c r="A34" s="283"/>
      <c r="B34" s="281"/>
      <c r="C34" s="282"/>
      <c r="D34" s="280"/>
      <c r="E34" s="279"/>
      <c r="F34" s="5">
        <v>142</v>
      </c>
    </row>
    <row r="35" spans="1:6" x14ac:dyDescent="0.25">
      <c r="A35" s="283"/>
      <c r="B35" s="281"/>
      <c r="C35" s="282"/>
      <c r="D35" s="280"/>
      <c r="E35" s="279">
        <v>143</v>
      </c>
      <c r="F35" s="5">
        <v>143</v>
      </c>
    </row>
    <row r="36" spans="1:6" x14ac:dyDescent="0.25">
      <c r="A36" s="283"/>
      <c r="B36" s="281"/>
      <c r="C36" s="282"/>
      <c r="D36" s="280"/>
      <c r="E36" s="279"/>
      <c r="F36" s="5">
        <v>145</v>
      </c>
    </row>
    <row r="37" spans="1:6" x14ac:dyDescent="0.25">
      <c r="A37" s="283">
        <v>150</v>
      </c>
      <c r="B37" s="281">
        <v>150</v>
      </c>
      <c r="C37" s="282">
        <v>150</v>
      </c>
      <c r="D37" s="280">
        <v>147</v>
      </c>
      <c r="E37" s="279">
        <v>147</v>
      </c>
      <c r="F37" s="5">
        <v>147</v>
      </c>
    </row>
    <row r="38" spans="1:6" x14ac:dyDescent="0.25">
      <c r="A38" s="283"/>
      <c r="B38" s="281"/>
      <c r="C38" s="282"/>
      <c r="D38" s="280"/>
      <c r="E38" s="279"/>
      <c r="F38" s="5">
        <v>149</v>
      </c>
    </row>
    <row r="39" spans="1:6" x14ac:dyDescent="0.25">
      <c r="A39" s="283"/>
      <c r="B39" s="281"/>
      <c r="C39" s="282"/>
      <c r="D39" s="280"/>
      <c r="E39" s="279">
        <v>150</v>
      </c>
      <c r="F39" s="5">
        <v>150</v>
      </c>
    </row>
    <row r="40" spans="1:6" x14ac:dyDescent="0.25">
      <c r="A40" s="283"/>
      <c r="B40" s="281"/>
      <c r="C40" s="282"/>
      <c r="D40" s="280"/>
      <c r="E40" s="279"/>
      <c r="F40" s="5">
        <v>152</v>
      </c>
    </row>
    <row r="41" spans="1:6" x14ac:dyDescent="0.25">
      <c r="A41" s="283"/>
      <c r="B41" s="281"/>
      <c r="C41" s="282"/>
      <c r="D41" s="280">
        <v>154</v>
      </c>
      <c r="E41" s="279">
        <v>154</v>
      </c>
      <c r="F41" s="5">
        <v>154</v>
      </c>
    </row>
    <row r="42" spans="1:6" x14ac:dyDescent="0.25">
      <c r="A42" s="283"/>
      <c r="B42" s="281"/>
      <c r="C42" s="282"/>
      <c r="D42" s="280"/>
      <c r="E42" s="279"/>
      <c r="F42" s="5">
        <v>156</v>
      </c>
    </row>
    <row r="43" spans="1:6" x14ac:dyDescent="0.25">
      <c r="A43" s="283"/>
      <c r="B43" s="281"/>
      <c r="C43" s="282"/>
      <c r="D43" s="280"/>
      <c r="E43" s="279">
        <v>158</v>
      </c>
      <c r="F43" s="5">
        <v>158</v>
      </c>
    </row>
    <row r="44" spans="1:6" x14ac:dyDescent="0.25">
      <c r="A44" s="283"/>
      <c r="B44" s="281"/>
      <c r="C44" s="282"/>
      <c r="D44" s="280"/>
      <c r="E44" s="279"/>
      <c r="F44" s="5">
        <v>160</v>
      </c>
    </row>
    <row r="45" spans="1:6" x14ac:dyDescent="0.25">
      <c r="A45" s="283"/>
      <c r="B45" s="281"/>
      <c r="C45" s="282">
        <v>160</v>
      </c>
      <c r="D45" s="280">
        <v>162</v>
      </c>
      <c r="E45" s="279">
        <v>162</v>
      </c>
      <c r="F45" s="5">
        <v>162</v>
      </c>
    </row>
    <row r="46" spans="1:6" x14ac:dyDescent="0.25">
      <c r="A46" s="283"/>
      <c r="B46" s="281"/>
      <c r="C46" s="282"/>
      <c r="D46" s="280"/>
      <c r="E46" s="279"/>
      <c r="F46" s="5">
        <v>164</v>
      </c>
    </row>
    <row r="47" spans="1:6" x14ac:dyDescent="0.25">
      <c r="A47" s="283"/>
      <c r="B47" s="281"/>
      <c r="C47" s="282"/>
      <c r="D47" s="280"/>
      <c r="E47" s="279">
        <v>165</v>
      </c>
      <c r="F47" s="5">
        <v>165</v>
      </c>
    </row>
    <row r="48" spans="1:6" x14ac:dyDescent="0.25">
      <c r="A48" s="283"/>
      <c r="B48" s="281"/>
      <c r="C48" s="282"/>
      <c r="D48" s="280"/>
      <c r="E48" s="279"/>
      <c r="F48" s="5">
        <v>167</v>
      </c>
    </row>
    <row r="49" spans="1:6" x14ac:dyDescent="0.25">
      <c r="A49" s="283"/>
      <c r="B49" s="281"/>
      <c r="C49" s="282"/>
      <c r="D49" s="280">
        <v>169</v>
      </c>
      <c r="E49" s="279">
        <v>169</v>
      </c>
      <c r="F49" s="5">
        <v>169</v>
      </c>
    </row>
    <row r="50" spans="1:6" x14ac:dyDescent="0.25">
      <c r="A50" s="283"/>
      <c r="B50" s="281"/>
      <c r="C50" s="282"/>
      <c r="D50" s="280"/>
      <c r="E50" s="279"/>
      <c r="F50" s="5">
        <v>172</v>
      </c>
    </row>
    <row r="51" spans="1:6" x14ac:dyDescent="0.25">
      <c r="A51" s="283"/>
      <c r="B51" s="281"/>
      <c r="C51" s="282"/>
      <c r="D51" s="280"/>
      <c r="E51" s="279">
        <v>174</v>
      </c>
      <c r="F51" s="5">
        <v>174</v>
      </c>
    </row>
    <row r="52" spans="1:6" x14ac:dyDescent="0.25">
      <c r="A52" s="283"/>
      <c r="B52" s="281"/>
      <c r="C52" s="282"/>
      <c r="D52" s="280"/>
      <c r="E52" s="279"/>
      <c r="F52" s="5">
        <v>176</v>
      </c>
    </row>
    <row r="53" spans="1:6" x14ac:dyDescent="0.25">
      <c r="A53" s="283"/>
      <c r="B53" s="281">
        <v>180</v>
      </c>
      <c r="C53" s="282">
        <v>180</v>
      </c>
      <c r="D53" s="280">
        <v>178</v>
      </c>
      <c r="E53" s="279">
        <v>178</v>
      </c>
      <c r="F53" s="5">
        <v>178</v>
      </c>
    </row>
    <row r="54" spans="1:6" x14ac:dyDescent="0.25">
      <c r="A54" s="283"/>
      <c r="B54" s="281"/>
      <c r="C54" s="282"/>
      <c r="D54" s="280"/>
      <c r="E54" s="279"/>
      <c r="F54" s="5">
        <v>180</v>
      </c>
    </row>
    <row r="55" spans="1:6" x14ac:dyDescent="0.25">
      <c r="A55" s="283"/>
      <c r="B55" s="281"/>
      <c r="C55" s="282"/>
      <c r="D55" s="280"/>
      <c r="E55" s="279">
        <v>182</v>
      </c>
      <c r="F55" s="5">
        <v>182</v>
      </c>
    </row>
    <row r="56" spans="1:6" x14ac:dyDescent="0.25">
      <c r="A56" s="283"/>
      <c r="B56" s="281"/>
      <c r="C56" s="282"/>
      <c r="D56" s="280"/>
      <c r="E56" s="279"/>
      <c r="F56" s="5">
        <v>184</v>
      </c>
    </row>
    <row r="57" spans="1:6" x14ac:dyDescent="0.25">
      <c r="A57" s="283"/>
      <c r="B57" s="281"/>
      <c r="C57" s="282"/>
      <c r="D57" s="280">
        <v>187</v>
      </c>
      <c r="E57" s="279">
        <v>187</v>
      </c>
      <c r="F57" s="5">
        <v>187</v>
      </c>
    </row>
    <row r="58" spans="1:6" x14ac:dyDescent="0.25">
      <c r="A58" s="283"/>
      <c r="B58" s="281"/>
      <c r="C58" s="282"/>
      <c r="D58" s="280"/>
      <c r="E58" s="279"/>
      <c r="F58" s="5">
        <v>189</v>
      </c>
    </row>
    <row r="59" spans="1:6" x14ac:dyDescent="0.25">
      <c r="A59" s="283"/>
      <c r="B59" s="281"/>
      <c r="C59" s="282"/>
      <c r="D59" s="280"/>
      <c r="E59" s="279">
        <v>191</v>
      </c>
      <c r="F59" s="5">
        <v>191</v>
      </c>
    </row>
    <row r="60" spans="1:6" x14ac:dyDescent="0.25">
      <c r="A60" s="283"/>
      <c r="B60" s="281"/>
      <c r="C60" s="282"/>
      <c r="D60" s="280"/>
      <c r="E60" s="279"/>
      <c r="F60" s="5">
        <v>193</v>
      </c>
    </row>
    <row r="61" spans="1:6" x14ac:dyDescent="0.25">
      <c r="A61" s="283"/>
      <c r="B61" s="281"/>
      <c r="C61" s="282">
        <v>200</v>
      </c>
      <c r="D61" s="280">
        <v>196</v>
      </c>
      <c r="E61" s="279">
        <v>196</v>
      </c>
      <c r="F61" s="5">
        <v>196</v>
      </c>
    </row>
    <row r="62" spans="1:6" x14ac:dyDescent="0.25">
      <c r="A62" s="283"/>
      <c r="B62" s="281"/>
      <c r="C62" s="282"/>
      <c r="D62" s="280"/>
      <c r="E62" s="279"/>
      <c r="F62" s="5">
        <v>198</v>
      </c>
    </row>
    <row r="63" spans="1:6" x14ac:dyDescent="0.25">
      <c r="A63" s="283"/>
      <c r="B63" s="281"/>
      <c r="C63" s="282"/>
      <c r="D63" s="280"/>
      <c r="E63" s="279">
        <v>200</v>
      </c>
      <c r="F63" s="5">
        <v>200</v>
      </c>
    </row>
    <row r="64" spans="1:6" x14ac:dyDescent="0.25">
      <c r="A64" s="283"/>
      <c r="B64" s="281"/>
      <c r="C64" s="282"/>
      <c r="D64" s="280"/>
      <c r="E64" s="279"/>
      <c r="F64" s="5">
        <v>203</v>
      </c>
    </row>
    <row r="65" spans="1:6" x14ac:dyDescent="0.25">
      <c r="A65" s="283"/>
      <c r="B65" s="281"/>
      <c r="C65" s="282"/>
      <c r="D65" s="280">
        <v>205</v>
      </c>
      <c r="E65" s="279">
        <v>205</v>
      </c>
      <c r="F65" s="5">
        <v>205</v>
      </c>
    </row>
    <row r="66" spans="1:6" x14ac:dyDescent="0.25">
      <c r="A66" s="283"/>
      <c r="B66" s="281"/>
      <c r="C66" s="282"/>
      <c r="D66" s="280"/>
      <c r="E66" s="279"/>
      <c r="F66" s="5">
        <v>208</v>
      </c>
    </row>
    <row r="67" spans="1:6" x14ac:dyDescent="0.25">
      <c r="A67" s="283"/>
      <c r="B67" s="281"/>
      <c r="C67" s="282"/>
      <c r="D67" s="280"/>
      <c r="E67" s="279">
        <v>210</v>
      </c>
      <c r="F67" s="5">
        <v>210</v>
      </c>
    </row>
    <row r="68" spans="1:6" x14ac:dyDescent="0.25">
      <c r="A68" s="283"/>
      <c r="B68" s="281"/>
      <c r="C68" s="282"/>
      <c r="D68" s="280"/>
      <c r="E68" s="279"/>
      <c r="F68" s="5">
        <v>213</v>
      </c>
    </row>
    <row r="69" spans="1:6" x14ac:dyDescent="0.25">
      <c r="A69" s="283">
        <v>220</v>
      </c>
      <c r="B69" s="281">
        <v>220</v>
      </c>
      <c r="C69" s="282">
        <v>220</v>
      </c>
      <c r="D69" s="280">
        <v>215</v>
      </c>
      <c r="E69" s="279">
        <v>215</v>
      </c>
      <c r="F69" s="5">
        <v>215</v>
      </c>
    </row>
    <row r="70" spans="1:6" x14ac:dyDescent="0.25">
      <c r="A70" s="283"/>
      <c r="B70" s="281"/>
      <c r="C70" s="282"/>
      <c r="D70" s="280"/>
      <c r="E70" s="279"/>
      <c r="F70" s="5">
        <v>218</v>
      </c>
    </row>
    <row r="71" spans="1:6" x14ac:dyDescent="0.25">
      <c r="A71" s="283"/>
      <c r="B71" s="281"/>
      <c r="C71" s="282"/>
      <c r="D71" s="280"/>
      <c r="E71" s="279">
        <v>221</v>
      </c>
      <c r="F71" s="5">
        <v>221</v>
      </c>
    </row>
    <row r="72" spans="1:6" x14ac:dyDescent="0.25">
      <c r="A72" s="283"/>
      <c r="B72" s="281"/>
      <c r="C72" s="282"/>
      <c r="D72" s="280"/>
      <c r="E72" s="279"/>
      <c r="F72" s="5">
        <v>223</v>
      </c>
    </row>
    <row r="73" spans="1:6" x14ac:dyDescent="0.25">
      <c r="A73" s="283"/>
      <c r="B73" s="281"/>
      <c r="C73" s="282"/>
      <c r="D73" s="280">
        <v>226</v>
      </c>
      <c r="E73" s="279">
        <v>226</v>
      </c>
      <c r="F73" s="5">
        <v>226</v>
      </c>
    </row>
    <row r="74" spans="1:6" x14ac:dyDescent="0.25">
      <c r="A74" s="283"/>
      <c r="B74" s="281"/>
      <c r="C74" s="282"/>
      <c r="D74" s="280"/>
      <c r="E74" s="279"/>
      <c r="F74" s="5">
        <v>229</v>
      </c>
    </row>
    <row r="75" spans="1:6" x14ac:dyDescent="0.25">
      <c r="A75" s="283"/>
      <c r="B75" s="281"/>
      <c r="C75" s="282"/>
      <c r="D75" s="280"/>
      <c r="E75" s="279">
        <v>232</v>
      </c>
      <c r="F75" s="5">
        <v>232</v>
      </c>
    </row>
    <row r="76" spans="1:6" x14ac:dyDescent="0.25">
      <c r="A76" s="283"/>
      <c r="B76" s="281"/>
      <c r="C76" s="282"/>
      <c r="D76" s="280"/>
      <c r="E76" s="279"/>
      <c r="F76" s="5">
        <v>234</v>
      </c>
    </row>
    <row r="77" spans="1:6" x14ac:dyDescent="0.25">
      <c r="A77" s="283"/>
      <c r="B77" s="281"/>
      <c r="C77" s="282">
        <v>240</v>
      </c>
      <c r="D77" s="280">
        <v>237</v>
      </c>
      <c r="E77" s="279">
        <v>237</v>
      </c>
      <c r="F77" s="5">
        <v>237</v>
      </c>
    </row>
    <row r="78" spans="1:6" x14ac:dyDescent="0.25">
      <c r="A78" s="283"/>
      <c r="B78" s="281"/>
      <c r="C78" s="282"/>
      <c r="D78" s="280"/>
      <c r="E78" s="279"/>
      <c r="F78" s="5">
        <v>240</v>
      </c>
    </row>
    <row r="79" spans="1:6" x14ac:dyDescent="0.25">
      <c r="A79" s="283"/>
      <c r="B79" s="281"/>
      <c r="C79" s="282"/>
      <c r="D79" s="280"/>
      <c r="E79" s="279">
        <v>243</v>
      </c>
      <c r="F79" s="5">
        <v>243</v>
      </c>
    </row>
    <row r="80" spans="1:6" x14ac:dyDescent="0.25">
      <c r="A80" s="283"/>
      <c r="B80" s="281"/>
      <c r="C80" s="282"/>
      <c r="D80" s="280"/>
      <c r="E80" s="279"/>
      <c r="F80" s="5">
        <v>246</v>
      </c>
    </row>
    <row r="81" spans="1:6" x14ac:dyDescent="0.25">
      <c r="A81" s="283"/>
      <c r="B81" s="281"/>
      <c r="C81" s="282"/>
      <c r="D81" s="280">
        <v>249</v>
      </c>
      <c r="E81" s="279">
        <v>249</v>
      </c>
      <c r="F81" s="5">
        <v>249</v>
      </c>
    </row>
    <row r="82" spans="1:6" x14ac:dyDescent="0.25">
      <c r="A82" s="283"/>
      <c r="B82" s="281"/>
      <c r="C82" s="282"/>
      <c r="D82" s="280"/>
      <c r="E82" s="279"/>
      <c r="F82" s="5">
        <v>252</v>
      </c>
    </row>
    <row r="83" spans="1:6" x14ac:dyDescent="0.25">
      <c r="A83" s="283"/>
      <c r="B83" s="281"/>
      <c r="C83" s="282"/>
      <c r="D83" s="280"/>
      <c r="E83" s="279">
        <v>255</v>
      </c>
      <c r="F83" s="5">
        <v>255</v>
      </c>
    </row>
    <row r="84" spans="1:6" x14ac:dyDescent="0.25">
      <c r="A84" s="283"/>
      <c r="B84" s="281"/>
      <c r="C84" s="282"/>
      <c r="D84" s="280"/>
      <c r="E84" s="279"/>
      <c r="F84" s="5">
        <v>258</v>
      </c>
    </row>
    <row r="85" spans="1:6" x14ac:dyDescent="0.25">
      <c r="A85" s="283"/>
      <c r="B85" s="281">
        <v>270</v>
      </c>
      <c r="C85" s="282">
        <v>270</v>
      </c>
      <c r="D85" s="280">
        <v>261</v>
      </c>
      <c r="E85" s="279">
        <v>261</v>
      </c>
      <c r="F85" s="5">
        <v>261</v>
      </c>
    </row>
    <row r="86" spans="1:6" x14ac:dyDescent="0.25">
      <c r="A86" s="283"/>
      <c r="B86" s="281"/>
      <c r="C86" s="282"/>
      <c r="D86" s="280"/>
      <c r="E86" s="279"/>
      <c r="F86" s="5">
        <v>264</v>
      </c>
    </row>
    <row r="87" spans="1:6" x14ac:dyDescent="0.25">
      <c r="A87" s="283"/>
      <c r="B87" s="281"/>
      <c r="C87" s="282"/>
      <c r="D87" s="280"/>
      <c r="E87" s="279">
        <v>267</v>
      </c>
      <c r="F87" s="5">
        <v>267</v>
      </c>
    </row>
    <row r="88" spans="1:6" x14ac:dyDescent="0.25">
      <c r="A88" s="283"/>
      <c r="B88" s="281"/>
      <c r="C88" s="282"/>
      <c r="D88" s="280"/>
      <c r="E88" s="279"/>
      <c r="F88" s="5">
        <v>271</v>
      </c>
    </row>
    <row r="89" spans="1:6" x14ac:dyDescent="0.25">
      <c r="A89" s="283"/>
      <c r="B89" s="281"/>
      <c r="C89" s="282"/>
      <c r="D89" s="280">
        <v>274</v>
      </c>
      <c r="E89" s="279">
        <v>274</v>
      </c>
      <c r="F89" s="5">
        <v>274</v>
      </c>
    </row>
    <row r="90" spans="1:6" x14ac:dyDescent="0.25">
      <c r="A90" s="283"/>
      <c r="B90" s="281"/>
      <c r="C90" s="282"/>
      <c r="D90" s="280"/>
      <c r="E90" s="279"/>
      <c r="F90" s="5">
        <v>277</v>
      </c>
    </row>
    <row r="91" spans="1:6" x14ac:dyDescent="0.25">
      <c r="A91" s="283"/>
      <c r="B91" s="281"/>
      <c r="C91" s="282"/>
      <c r="D91" s="280"/>
      <c r="E91" s="279">
        <v>280</v>
      </c>
      <c r="F91" s="5">
        <v>280</v>
      </c>
    </row>
    <row r="92" spans="1:6" x14ac:dyDescent="0.25">
      <c r="A92" s="283"/>
      <c r="B92" s="281"/>
      <c r="C92" s="282"/>
      <c r="D92" s="280"/>
      <c r="E92" s="279"/>
      <c r="F92" s="5">
        <v>284</v>
      </c>
    </row>
    <row r="93" spans="1:6" x14ac:dyDescent="0.25">
      <c r="A93" s="283"/>
      <c r="B93" s="281"/>
      <c r="C93" s="282">
        <v>300</v>
      </c>
      <c r="D93" s="280">
        <v>287</v>
      </c>
      <c r="E93" s="279">
        <v>287</v>
      </c>
      <c r="F93" s="5">
        <v>287</v>
      </c>
    </row>
    <row r="94" spans="1:6" x14ac:dyDescent="0.25">
      <c r="A94" s="283"/>
      <c r="B94" s="281"/>
      <c r="C94" s="282"/>
      <c r="D94" s="280"/>
      <c r="E94" s="279"/>
      <c r="F94" s="5">
        <v>291</v>
      </c>
    </row>
    <row r="95" spans="1:6" x14ac:dyDescent="0.25">
      <c r="A95" s="283"/>
      <c r="B95" s="281"/>
      <c r="C95" s="282"/>
      <c r="D95" s="280"/>
      <c r="E95" s="279">
        <v>294</v>
      </c>
      <c r="F95" s="5">
        <v>294</v>
      </c>
    </row>
    <row r="96" spans="1:6" x14ac:dyDescent="0.25">
      <c r="A96" s="283"/>
      <c r="B96" s="281"/>
      <c r="C96" s="282"/>
      <c r="D96" s="280"/>
      <c r="E96" s="279"/>
      <c r="F96" s="5">
        <v>298</v>
      </c>
    </row>
    <row r="97" spans="1:6" x14ac:dyDescent="0.25">
      <c r="A97" s="283"/>
      <c r="B97" s="281"/>
      <c r="C97" s="282"/>
      <c r="D97" s="280">
        <v>301</v>
      </c>
      <c r="E97" s="279">
        <v>301</v>
      </c>
      <c r="F97" s="5">
        <v>301</v>
      </c>
    </row>
    <row r="98" spans="1:6" x14ac:dyDescent="0.25">
      <c r="A98" s="283"/>
      <c r="B98" s="281"/>
      <c r="C98" s="282"/>
      <c r="D98" s="280"/>
      <c r="E98" s="279"/>
      <c r="F98" s="5">
        <v>305</v>
      </c>
    </row>
    <row r="99" spans="1:6" x14ac:dyDescent="0.25">
      <c r="A99" s="283"/>
      <c r="B99" s="281"/>
      <c r="C99" s="282"/>
      <c r="D99" s="280"/>
      <c r="E99" s="279">
        <v>309</v>
      </c>
      <c r="F99" s="5">
        <v>309</v>
      </c>
    </row>
    <row r="100" spans="1:6" x14ac:dyDescent="0.25">
      <c r="A100" s="283"/>
      <c r="B100" s="281"/>
      <c r="C100" s="282"/>
      <c r="D100" s="280"/>
      <c r="E100" s="279"/>
      <c r="F100" s="5">
        <v>312</v>
      </c>
    </row>
    <row r="101" spans="1:6" x14ac:dyDescent="0.25">
      <c r="A101" s="283">
        <v>330</v>
      </c>
      <c r="B101" s="281">
        <v>330</v>
      </c>
      <c r="C101" s="282">
        <v>330</v>
      </c>
      <c r="D101" s="280">
        <v>316</v>
      </c>
      <c r="E101" s="279">
        <v>316</v>
      </c>
      <c r="F101" s="5">
        <v>316</v>
      </c>
    </row>
    <row r="102" spans="1:6" x14ac:dyDescent="0.25">
      <c r="A102" s="283"/>
      <c r="B102" s="281"/>
      <c r="C102" s="282"/>
      <c r="D102" s="280"/>
      <c r="E102" s="279"/>
      <c r="F102" s="5">
        <v>320</v>
      </c>
    </row>
    <row r="103" spans="1:6" x14ac:dyDescent="0.25">
      <c r="A103" s="283"/>
      <c r="B103" s="281"/>
      <c r="C103" s="282"/>
      <c r="D103" s="280"/>
      <c r="E103" s="279">
        <v>324</v>
      </c>
      <c r="F103" s="5">
        <v>324</v>
      </c>
    </row>
    <row r="104" spans="1:6" x14ac:dyDescent="0.25">
      <c r="A104" s="283"/>
      <c r="B104" s="281"/>
      <c r="C104" s="282"/>
      <c r="D104" s="280"/>
      <c r="E104" s="279"/>
      <c r="F104" s="5">
        <v>328</v>
      </c>
    </row>
    <row r="105" spans="1:6" x14ac:dyDescent="0.25">
      <c r="A105" s="283"/>
      <c r="B105" s="281"/>
      <c r="C105" s="282"/>
      <c r="D105" s="280">
        <v>332</v>
      </c>
      <c r="E105" s="279">
        <v>332</v>
      </c>
      <c r="F105" s="5">
        <v>332</v>
      </c>
    </row>
    <row r="106" spans="1:6" x14ac:dyDescent="0.25">
      <c r="A106" s="283"/>
      <c r="B106" s="281"/>
      <c r="C106" s="282"/>
      <c r="D106" s="280"/>
      <c r="E106" s="279"/>
      <c r="F106" s="5">
        <v>336</v>
      </c>
    </row>
    <row r="107" spans="1:6" x14ac:dyDescent="0.25">
      <c r="A107" s="283"/>
      <c r="B107" s="281"/>
      <c r="C107" s="282"/>
      <c r="D107" s="280"/>
      <c r="E107" s="279">
        <v>340</v>
      </c>
      <c r="F107" s="5">
        <v>340</v>
      </c>
    </row>
    <row r="108" spans="1:6" x14ac:dyDescent="0.25">
      <c r="A108" s="283"/>
      <c r="B108" s="281"/>
      <c r="C108" s="282"/>
      <c r="D108" s="280"/>
      <c r="E108" s="279"/>
      <c r="F108" s="5">
        <v>344</v>
      </c>
    </row>
    <row r="109" spans="1:6" x14ac:dyDescent="0.25">
      <c r="A109" s="283"/>
      <c r="B109" s="281"/>
      <c r="C109" s="282">
        <v>360</v>
      </c>
      <c r="D109" s="280">
        <v>348</v>
      </c>
      <c r="E109" s="279">
        <v>348</v>
      </c>
      <c r="F109" s="5">
        <v>348</v>
      </c>
    </row>
    <row r="110" spans="1:6" x14ac:dyDescent="0.25">
      <c r="A110" s="283"/>
      <c r="B110" s="281"/>
      <c r="C110" s="282"/>
      <c r="D110" s="280"/>
      <c r="E110" s="279"/>
      <c r="F110" s="5">
        <v>352</v>
      </c>
    </row>
    <row r="111" spans="1:6" x14ac:dyDescent="0.25">
      <c r="A111" s="283"/>
      <c r="B111" s="281"/>
      <c r="C111" s="282"/>
      <c r="D111" s="280"/>
      <c r="E111" s="279">
        <v>357</v>
      </c>
      <c r="F111" s="5">
        <v>357</v>
      </c>
    </row>
    <row r="112" spans="1:6" x14ac:dyDescent="0.25">
      <c r="A112" s="283"/>
      <c r="B112" s="281"/>
      <c r="C112" s="282"/>
      <c r="D112" s="280"/>
      <c r="E112" s="279"/>
      <c r="F112" s="5">
        <v>361</v>
      </c>
    </row>
    <row r="113" spans="1:6" x14ac:dyDescent="0.25">
      <c r="A113" s="283"/>
      <c r="B113" s="281"/>
      <c r="C113" s="282"/>
      <c r="D113" s="280">
        <v>365</v>
      </c>
      <c r="E113" s="279">
        <v>365</v>
      </c>
      <c r="F113" s="5">
        <v>365</v>
      </c>
    </row>
    <row r="114" spans="1:6" x14ac:dyDescent="0.25">
      <c r="A114" s="283"/>
      <c r="B114" s="281"/>
      <c r="C114" s="282"/>
      <c r="D114" s="280"/>
      <c r="E114" s="279"/>
      <c r="F114" s="5">
        <v>370</v>
      </c>
    </row>
    <row r="115" spans="1:6" x14ac:dyDescent="0.25">
      <c r="A115" s="283"/>
      <c r="B115" s="281"/>
      <c r="C115" s="282"/>
      <c r="D115" s="280"/>
      <c r="E115" s="279">
        <v>374</v>
      </c>
      <c r="F115" s="5">
        <v>374</v>
      </c>
    </row>
    <row r="116" spans="1:6" x14ac:dyDescent="0.25">
      <c r="A116" s="283"/>
      <c r="B116" s="281"/>
      <c r="C116" s="282"/>
      <c r="D116" s="280"/>
      <c r="E116" s="279"/>
      <c r="F116" s="5">
        <v>379</v>
      </c>
    </row>
    <row r="117" spans="1:6" x14ac:dyDescent="0.25">
      <c r="A117" s="283"/>
      <c r="B117" s="281">
        <v>390</v>
      </c>
      <c r="C117" s="282">
        <v>390</v>
      </c>
      <c r="D117" s="280">
        <v>383</v>
      </c>
      <c r="E117" s="279">
        <v>383</v>
      </c>
      <c r="F117" s="5">
        <v>383</v>
      </c>
    </row>
    <row r="118" spans="1:6" x14ac:dyDescent="0.25">
      <c r="A118" s="283"/>
      <c r="B118" s="281"/>
      <c r="C118" s="282"/>
      <c r="D118" s="280"/>
      <c r="E118" s="279"/>
      <c r="F118" s="5">
        <v>388</v>
      </c>
    </row>
    <row r="119" spans="1:6" x14ac:dyDescent="0.25">
      <c r="A119" s="283"/>
      <c r="B119" s="281"/>
      <c r="C119" s="282"/>
      <c r="D119" s="280"/>
      <c r="E119" s="279">
        <v>392</v>
      </c>
      <c r="F119" s="5">
        <v>392</v>
      </c>
    </row>
    <row r="120" spans="1:6" x14ac:dyDescent="0.25">
      <c r="A120" s="283"/>
      <c r="B120" s="281"/>
      <c r="C120" s="282"/>
      <c r="D120" s="280"/>
      <c r="E120" s="279"/>
      <c r="F120" s="5">
        <v>397</v>
      </c>
    </row>
    <row r="121" spans="1:6" x14ac:dyDescent="0.25">
      <c r="A121" s="283"/>
      <c r="B121" s="281"/>
      <c r="C121" s="282"/>
      <c r="D121" s="280">
        <v>402</v>
      </c>
      <c r="E121" s="279">
        <v>402</v>
      </c>
      <c r="F121" s="5">
        <v>402</v>
      </c>
    </row>
    <row r="122" spans="1:6" x14ac:dyDescent="0.25">
      <c r="A122" s="283"/>
      <c r="B122" s="281"/>
      <c r="C122" s="282"/>
      <c r="D122" s="280"/>
      <c r="E122" s="279"/>
      <c r="F122" s="5">
        <v>407</v>
      </c>
    </row>
    <row r="123" spans="1:6" x14ac:dyDescent="0.25">
      <c r="A123" s="283"/>
      <c r="B123" s="281"/>
      <c r="C123" s="282"/>
      <c r="D123" s="280"/>
      <c r="E123" s="279">
        <v>412</v>
      </c>
      <c r="F123" s="5">
        <v>412</v>
      </c>
    </row>
    <row r="124" spans="1:6" x14ac:dyDescent="0.25">
      <c r="A124" s="283"/>
      <c r="B124" s="281"/>
      <c r="C124" s="282"/>
      <c r="D124" s="280"/>
      <c r="E124" s="279"/>
      <c r="F124" s="5">
        <v>417</v>
      </c>
    </row>
    <row r="125" spans="1:6" x14ac:dyDescent="0.25">
      <c r="A125" s="283"/>
      <c r="B125" s="281"/>
      <c r="C125" s="282">
        <v>430</v>
      </c>
      <c r="D125" s="280">
        <v>422</v>
      </c>
      <c r="E125" s="279">
        <v>422</v>
      </c>
      <c r="F125" s="5">
        <v>422</v>
      </c>
    </row>
    <row r="126" spans="1:6" x14ac:dyDescent="0.25">
      <c r="A126" s="283"/>
      <c r="B126" s="281"/>
      <c r="C126" s="282"/>
      <c r="D126" s="280"/>
      <c r="E126" s="279"/>
      <c r="F126" s="5">
        <v>427</v>
      </c>
    </row>
    <row r="127" spans="1:6" x14ac:dyDescent="0.25">
      <c r="A127" s="283"/>
      <c r="B127" s="281"/>
      <c r="C127" s="282"/>
      <c r="D127" s="280"/>
      <c r="E127" s="279">
        <v>432</v>
      </c>
      <c r="F127" s="5">
        <v>432</v>
      </c>
    </row>
    <row r="128" spans="1:6" x14ac:dyDescent="0.25">
      <c r="A128" s="283"/>
      <c r="B128" s="281"/>
      <c r="C128" s="282"/>
      <c r="D128" s="280"/>
      <c r="E128" s="279"/>
      <c r="F128" s="5">
        <v>437</v>
      </c>
    </row>
    <row r="129" spans="1:6" x14ac:dyDescent="0.25">
      <c r="A129" s="283"/>
      <c r="B129" s="281"/>
      <c r="C129" s="282"/>
      <c r="D129" s="280">
        <v>442</v>
      </c>
      <c r="E129" s="279">
        <v>442</v>
      </c>
      <c r="F129" s="5">
        <v>442</v>
      </c>
    </row>
    <row r="130" spans="1:6" x14ac:dyDescent="0.25">
      <c r="A130" s="283"/>
      <c r="B130" s="281"/>
      <c r="C130" s="282"/>
      <c r="D130" s="280"/>
      <c r="E130" s="279"/>
      <c r="F130" s="5">
        <v>448</v>
      </c>
    </row>
    <row r="131" spans="1:6" x14ac:dyDescent="0.25">
      <c r="A131" s="283"/>
      <c r="B131" s="281"/>
      <c r="C131" s="282"/>
      <c r="D131" s="280"/>
      <c r="E131" s="279">
        <v>453</v>
      </c>
      <c r="F131" s="5">
        <v>453</v>
      </c>
    </row>
    <row r="132" spans="1:6" x14ac:dyDescent="0.25">
      <c r="A132" s="283"/>
      <c r="B132" s="281"/>
      <c r="C132" s="282"/>
      <c r="D132" s="280"/>
      <c r="E132" s="279"/>
      <c r="F132" s="5">
        <v>459</v>
      </c>
    </row>
    <row r="133" spans="1:6" x14ac:dyDescent="0.25">
      <c r="A133" s="283">
        <v>470</v>
      </c>
      <c r="B133" s="281">
        <v>470</v>
      </c>
      <c r="C133" s="282">
        <v>470</v>
      </c>
      <c r="D133" s="280">
        <v>464</v>
      </c>
      <c r="E133" s="279">
        <v>464</v>
      </c>
      <c r="F133" s="5">
        <v>464</v>
      </c>
    </row>
    <row r="134" spans="1:6" x14ac:dyDescent="0.25">
      <c r="A134" s="283"/>
      <c r="B134" s="281"/>
      <c r="C134" s="282"/>
      <c r="D134" s="280"/>
      <c r="E134" s="279"/>
      <c r="F134" s="5">
        <v>470</v>
      </c>
    </row>
    <row r="135" spans="1:6" x14ac:dyDescent="0.25">
      <c r="A135" s="283"/>
      <c r="B135" s="281"/>
      <c r="C135" s="282"/>
      <c r="D135" s="280"/>
      <c r="E135" s="279">
        <v>475</v>
      </c>
      <c r="F135" s="5">
        <v>475</v>
      </c>
    </row>
    <row r="136" spans="1:6" x14ac:dyDescent="0.25">
      <c r="A136" s="283"/>
      <c r="B136" s="281"/>
      <c r="C136" s="282"/>
      <c r="D136" s="280"/>
      <c r="E136" s="279"/>
      <c r="F136" s="5">
        <v>481</v>
      </c>
    </row>
    <row r="137" spans="1:6" x14ac:dyDescent="0.25">
      <c r="A137" s="283"/>
      <c r="B137" s="281"/>
      <c r="C137" s="282"/>
      <c r="D137" s="280">
        <v>487</v>
      </c>
      <c r="E137" s="279">
        <v>487</v>
      </c>
      <c r="F137" s="5">
        <v>487</v>
      </c>
    </row>
    <row r="138" spans="1:6" x14ac:dyDescent="0.25">
      <c r="A138" s="283"/>
      <c r="B138" s="281"/>
      <c r="C138" s="282"/>
      <c r="D138" s="280"/>
      <c r="E138" s="279"/>
      <c r="F138" s="5">
        <v>493</v>
      </c>
    </row>
    <row r="139" spans="1:6" x14ac:dyDescent="0.25">
      <c r="A139" s="283"/>
      <c r="B139" s="281"/>
      <c r="C139" s="282"/>
      <c r="D139" s="280"/>
      <c r="E139" s="279">
        <v>499</v>
      </c>
      <c r="F139" s="5">
        <v>499</v>
      </c>
    </row>
    <row r="140" spans="1:6" x14ac:dyDescent="0.25">
      <c r="A140" s="283"/>
      <c r="B140" s="281"/>
      <c r="C140" s="282"/>
      <c r="D140" s="280"/>
      <c r="E140" s="279"/>
      <c r="F140" s="5">
        <v>505</v>
      </c>
    </row>
    <row r="141" spans="1:6" x14ac:dyDescent="0.25">
      <c r="A141" s="283"/>
      <c r="B141" s="281"/>
      <c r="C141" s="282">
        <v>510</v>
      </c>
      <c r="D141" s="280">
        <v>511</v>
      </c>
      <c r="E141" s="279">
        <v>511</v>
      </c>
      <c r="F141" s="5">
        <v>511</v>
      </c>
    </row>
    <row r="142" spans="1:6" x14ac:dyDescent="0.25">
      <c r="A142" s="283"/>
      <c r="B142" s="281"/>
      <c r="C142" s="282"/>
      <c r="D142" s="280"/>
      <c r="E142" s="279"/>
      <c r="F142" s="5">
        <v>517</v>
      </c>
    </row>
    <row r="143" spans="1:6" x14ac:dyDescent="0.25">
      <c r="A143" s="283"/>
      <c r="B143" s="281"/>
      <c r="C143" s="282"/>
      <c r="D143" s="280"/>
      <c r="E143" s="279">
        <v>523</v>
      </c>
      <c r="F143" s="5">
        <v>523</v>
      </c>
    </row>
    <row r="144" spans="1:6" x14ac:dyDescent="0.25">
      <c r="A144" s="283"/>
      <c r="B144" s="281"/>
      <c r="C144" s="282"/>
      <c r="D144" s="280"/>
      <c r="E144" s="279"/>
      <c r="F144" s="5">
        <v>530</v>
      </c>
    </row>
    <row r="145" spans="1:6" x14ac:dyDescent="0.25">
      <c r="A145" s="283"/>
      <c r="B145" s="281"/>
      <c r="C145" s="282"/>
      <c r="D145" s="280">
        <v>536</v>
      </c>
      <c r="E145" s="279">
        <v>536</v>
      </c>
      <c r="F145" s="5">
        <v>536</v>
      </c>
    </row>
    <row r="146" spans="1:6" x14ac:dyDescent="0.25">
      <c r="A146" s="283"/>
      <c r="B146" s="281"/>
      <c r="C146" s="282"/>
      <c r="D146" s="280"/>
      <c r="E146" s="279"/>
      <c r="F146" s="5">
        <v>542</v>
      </c>
    </row>
    <row r="147" spans="1:6" x14ac:dyDescent="0.25">
      <c r="A147" s="283"/>
      <c r="B147" s="281"/>
      <c r="C147" s="282"/>
      <c r="D147" s="280"/>
      <c r="E147" s="279">
        <v>549</v>
      </c>
      <c r="F147" s="5">
        <v>549</v>
      </c>
    </row>
    <row r="148" spans="1:6" x14ac:dyDescent="0.25">
      <c r="A148" s="283"/>
      <c r="B148" s="281"/>
      <c r="C148" s="282"/>
      <c r="D148" s="280"/>
      <c r="E148" s="279"/>
      <c r="F148" s="5">
        <v>556</v>
      </c>
    </row>
    <row r="149" spans="1:6" x14ac:dyDescent="0.25">
      <c r="A149" s="283"/>
      <c r="B149" s="281">
        <v>560</v>
      </c>
      <c r="C149" s="282">
        <v>560</v>
      </c>
      <c r="D149" s="280">
        <v>562</v>
      </c>
      <c r="E149" s="279">
        <v>562</v>
      </c>
      <c r="F149" s="5">
        <v>562</v>
      </c>
    </row>
    <row r="150" spans="1:6" x14ac:dyDescent="0.25">
      <c r="A150" s="283"/>
      <c r="B150" s="281"/>
      <c r="C150" s="282"/>
      <c r="D150" s="280"/>
      <c r="E150" s="279"/>
      <c r="F150" s="5">
        <v>569</v>
      </c>
    </row>
    <row r="151" spans="1:6" x14ac:dyDescent="0.25">
      <c r="A151" s="283"/>
      <c r="B151" s="281"/>
      <c r="C151" s="282"/>
      <c r="D151" s="280"/>
      <c r="E151" s="279">
        <v>576</v>
      </c>
      <c r="F151" s="5">
        <v>576</v>
      </c>
    </row>
    <row r="152" spans="1:6" x14ac:dyDescent="0.25">
      <c r="A152" s="283"/>
      <c r="B152" s="281"/>
      <c r="C152" s="282"/>
      <c r="D152" s="280"/>
      <c r="E152" s="279"/>
      <c r="F152" s="5">
        <v>583</v>
      </c>
    </row>
    <row r="153" spans="1:6" x14ac:dyDescent="0.25">
      <c r="A153" s="283"/>
      <c r="B153" s="281"/>
      <c r="C153" s="282"/>
      <c r="D153" s="280">
        <v>590</v>
      </c>
      <c r="E153" s="279">
        <v>590</v>
      </c>
      <c r="F153" s="5">
        <v>590</v>
      </c>
    </row>
    <row r="154" spans="1:6" x14ac:dyDescent="0.25">
      <c r="A154" s="283"/>
      <c r="B154" s="281"/>
      <c r="C154" s="282"/>
      <c r="D154" s="280"/>
      <c r="E154" s="279"/>
      <c r="F154" s="5">
        <v>597</v>
      </c>
    </row>
    <row r="155" spans="1:6" x14ac:dyDescent="0.25">
      <c r="A155" s="283"/>
      <c r="B155" s="281"/>
      <c r="C155" s="282"/>
      <c r="D155" s="280"/>
      <c r="E155" s="279">
        <v>604</v>
      </c>
      <c r="F155" s="5">
        <v>604</v>
      </c>
    </row>
    <row r="156" spans="1:6" x14ac:dyDescent="0.25">
      <c r="A156" s="283"/>
      <c r="B156" s="281"/>
      <c r="C156" s="282"/>
      <c r="D156" s="280"/>
      <c r="E156" s="279"/>
      <c r="F156" s="5">
        <v>612</v>
      </c>
    </row>
    <row r="157" spans="1:6" x14ac:dyDescent="0.25">
      <c r="A157" s="283"/>
      <c r="B157" s="281"/>
      <c r="C157" s="282">
        <v>620</v>
      </c>
      <c r="D157" s="280">
        <v>619</v>
      </c>
      <c r="E157" s="279">
        <v>619</v>
      </c>
      <c r="F157" s="5">
        <v>619</v>
      </c>
    </row>
    <row r="158" spans="1:6" x14ac:dyDescent="0.25">
      <c r="A158" s="283"/>
      <c r="B158" s="281"/>
      <c r="C158" s="282"/>
      <c r="D158" s="280"/>
      <c r="E158" s="279"/>
      <c r="F158" s="5">
        <v>626</v>
      </c>
    </row>
    <row r="159" spans="1:6" x14ac:dyDescent="0.25">
      <c r="A159" s="283"/>
      <c r="B159" s="281"/>
      <c r="C159" s="282"/>
      <c r="D159" s="280"/>
      <c r="E159" s="279">
        <v>634</v>
      </c>
      <c r="F159" s="5">
        <v>634</v>
      </c>
    </row>
    <row r="160" spans="1:6" x14ac:dyDescent="0.25">
      <c r="A160" s="283"/>
      <c r="B160" s="281"/>
      <c r="C160" s="282"/>
      <c r="D160" s="280"/>
      <c r="E160" s="279"/>
      <c r="F160" s="5">
        <v>642</v>
      </c>
    </row>
    <row r="161" spans="1:6" x14ac:dyDescent="0.25">
      <c r="A161" s="283"/>
      <c r="B161" s="281"/>
      <c r="C161" s="282"/>
      <c r="D161" s="280">
        <v>649</v>
      </c>
      <c r="E161" s="279">
        <v>649</v>
      </c>
      <c r="F161" s="5">
        <v>649</v>
      </c>
    </row>
    <row r="162" spans="1:6" x14ac:dyDescent="0.25">
      <c r="A162" s="283"/>
      <c r="B162" s="281"/>
      <c r="C162" s="282"/>
      <c r="D162" s="280"/>
      <c r="E162" s="279"/>
      <c r="F162" s="5">
        <v>657</v>
      </c>
    </row>
    <row r="163" spans="1:6" x14ac:dyDescent="0.25">
      <c r="A163" s="283"/>
      <c r="B163" s="281"/>
      <c r="C163" s="282"/>
      <c r="D163" s="280"/>
      <c r="E163" s="279">
        <v>665</v>
      </c>
      <c r="F163" s="5">
        <v>665</v>
      </c>
    </row>
    <row r="164" spans="1:6" x14ac:dyDescent="0.25">
      <c r="A164" s="283"/>
      <c r="B164" s="281"/>
      <c r="C164" s="282"/>
      <c r="D164" s="280"/>
      <c r="E164" s="279"/>
      <c r="F164" s="5">
        <v>673</v>
      </c>
    </row>
    <row r="165" spans="1:6" x14ac:dyDescent="0.25">
      <c r="A165" s="283">
        <v>680</v>
      </c>
      <c r="B165" s="281">
        <v>680</v>
      </c>
      <c r="C165" s="282">
        <v>680</v>
      </c>
      <c r="D165" s="280">
        <v>681</v>
      </c>
      <c r="E165" s="279">
        <v>681</v>
      </c>
      <c r="F165" s="5">
        <v>681</v>
      </c>
    </row>
    <row r="166" spans="1:6" x14ac:dyDescent="0.25">
      <c r="A166" s="283"/>
      <c r="B166" s="281"/>
      <c r="C166" s="282"/>
      <c r="D166" s="280"/>
      <c r="E166" s="279"/>
      <c r="F166" s="5">
        <v>690</v>
      </c>
    </row>
    <row r="167" spans="1:6" x14ac:dyDescent="0.25">
      <c r="A167" s="283"/>
      <c r="B167" s="281"/>
      <c r="C167" s="282"/>
      <c r="D167" s="280"/>
      <c r="E167" s="279">
        <v>698</v>
      </c>
      <c r="F167" s="5">
        <v>698</v>
      </c>
    </row>
    <row r="168" spans="1:6" x14ac:dyDescent="0.25">
      <c r="A168" s="283"/>
      <c r="B168" s="281"/>
      <c r="C168" s="282"/>
      <c r="D168" s="280"/>
      <c r="E168" s="279"/>
      <c r="F168" s="5">
        <v>706</v>
      </c>
    </row>
    <row r="169" spans="1:6" x14ac:dyDescent="0.25">
      <c r="A169" s="283"/>
      <c r="B169" s="281"/>
      <c r="C169" s="282"/>
      <c r="D169" s="280">
        <v>715</v>
      </c>
      <c r="E169" s="279">
        <v>715</v>
      </c>
      <c r="F169" s="5">
        <v>715</v>
      </c>
    </row>
    <row r="170" spans="1:6" x14ac:dyDescent="0.25">
      <c r="A170" s="283"/>
      <c r="B170" s="281"/>
      <c r="C170" s="282"/>
      <c r="D170" s="280"/>
      <c r="E170" s="279"/>
      <c r="F170" s="5">
        <v>723</v>
      </c>
    </row>
    <row r="171" spans="1:6" x14ac:dyDescent="0.25">
      <c r="A171" s="283"/>
      <c r="B171" s="281"/>
      <c r="C171" s="282"/>
      <c r="D171" s="280"/>
      <c r="E171" s="279">
        <v>732</v>
      </c>
      <c r="F171" s="5">
        <v>732</v>
      </c>
    </row>
    <row r="172" spans="1:6" x14ac:dyDescent="0.25">
      <c r="A172" s="283"/>
      <c r="B172" s="281"/>
      <c r="C172" s="282"/>
      <c r="D172" s="280"/>
      <c r="E172" s="279"/>
      <c r="F172" s="5">
        <v>741</v>
      </c>
    </row>
    <row r="173" spans="1:6" x14ac:dyDescent="0.25">
      <c r="A173" s="283"/>
      <c r="B173" s="281"/>
      <c r="C173" s="282">
        <v>750</v>
      </c>
      <c r="D173" s="280">
        <v>750</v>
      </c>
      <c r="E173" s="279">
        <v>750</v>
      </c>
      <c r="F173" s="5">
        <v>750</v>
      </c>
    </row>
    <row r="174" spans="1:6" x14ac:dyDescent="0.25">
      <c r="A174" s="283"/>
      <c r="B174" s="281"/>
      <c r="C174" s="282"/>
      <c r="D174" s="280"/>
      <c r="E174" s="279"/>
      <c r="F174" s="5">
        <v>759</v>
      </c>
    </row>
    <row r="175" spans="1:6" x14ac:dyDescent="0.25">
      <c r="A175" s="283"/>
      <c r="B175" s="281"/>
      <c r="C175" s="282"/>
      <c r="D175" s="280"/>
      <c r="E175" s="279">
        <v>768</v>
      </c>
      <c r="F175" s="5">
        <v>768</v>
      </c>
    </row>
    <row r="176" spans="1:6" x14ac:dyDescent="0.25">
      <c r="A176" s="283"/>
      <c r="B176" s="281"/>
      <c r="C176" s="282"/>
      <c r="D176" s="280"/>
      <c r="E176" s="279"/>
      <c r="F176" s="5">
        <v>777</v>
      </c>
    </row>
    <row r="177" spans="1:6" x14ac:dyDescent="0.25">
      <c r="A177" s="283"/>
      <c r="B177" s="281"/>
      <c r="C177" s="282"/>
      <c r="D177" s="280">
        <v>787</v>
      </c>
      <c r="E177" s="279">
        <v>787</v>
      </c>
      <c r="F177" s="5">
        <v>787</v>
      </c>
    </row>
    <row r="178" spans="1:6" x14ac:dyDescent="0.25">
      <c r="A178" s="283"/>
      <c r="B178" s="281"/>
      <c r="C178" s="282"/>
      <c r="D178" s="280"/>
      <c r="E178" s="279"/>
      <c r="F178" s="5">
        <v>796</v>
      </c>
    </row>
    <row r="179" spans="1:6" x14ac:dyDescent="0.25">
      <c r="A179" s="283"/>
      <c r="B179" s="281"/>
      <c r="C179" s="282"/>
      <c r="D179" s="280"/>
      <c r="E179" s="279">
        <v>806</v>
      </c>
      <c r="F179" s="5">
        <v>806</v>
      </c>
    </row>
    <row r="180" spans="1:6" x14ac:dyDescent="0.25">
      <c r="A180" s="283"/>
      <c r="B180" s="281"/>
      <c r="C180" s="282"/>
      <c r="D180" s="280"/>
      <c r="E180" s="279"/>
      <c r="F180" s="5">
        <v>816</v>
      </c>
    </row>
    <row r="181" spans="1:6" x14ac:dyDescent="0.25">
      <c r="A181" s="283"/>
      <c r="B181" s="281">
        <v>820</v>
      </c>
      <c r="C181" s="282">
        <v>820</v>
      </c>
      <c r="D181" s="280">
        <v>825</v>
      </c>
      <c r="E181" s="279">
        <v>825</v>
      </c>
      <c r="F181" s="5">
        <v>825</v>
      </c>
    </row>
    <row r="182" spans="1:6" x14ac:dyDescent="0.25">
      <c r="A182" s="283"/>
      <c r="B182" s="281"/>
      <c r="C182" s="282"/>
      <c r="D182" s="280"/>
      <c r="E182" s="279"/>
      <c r="F182" s="5">
        <v>835</v>
      </c>
    </row>
    <row r="183" spans="1:6" x14ac:dyDescent="0.25">
      <c r="A183" s="283"/>
      <c r="B183" s="281"/>
      <c r="C183" s="282"/>
      <c r="D183" s="280"/>
      <c r="E183" s="279">
        <v>845</v>
      </c>
      <c r="F183" s="5">
        <v>845</v>
      </c>
    </row>
    <row r="184" spans="1:6" x14ac:dyDescent="0.25">
      <c r="A184" s="283"/>
      <c r="B184" s="281"/>
      <c r="C184" s="282"/>
      <c r="D184" s="280"/>
      <c r="E184" s="279"/>
      <c r="F184" s="5">
        <v>856</v>
      </c>
    </row>
    <row r="185" spans="1:6" x14ac:dyDescent="0.25">
      <c r="A185" s="283"/>
      <c r="B185" s="281"/>
      <c r="C185" s="282"/>
      <c r="D185" s="280">
        <v>866</v>
      </c>
      <c r="E185" s="279">
        <v>866</v>
      </c>
      <c r="F185" s="5">
        <v>866</v>
      </c>
    </row>
    <row r="186" spans="1:6" x14ac:dyDescent="0.25">
      <c r="A186" s="283"/>
      <c r="B186" s="281"/>
      <c r="C186" s="282"/>
      <c r="D186" s="280"/>
      <c r="E186" s="279"/>
      <c r="F186" s="5">
        <v>876</v>
      </c>
    </row>
    <row r="187" spans="1:6" x14ac:dyDescent="0.25">
      <c r="A187" s="283"/>
      <c r="B187" s="281"/>
      <c r="C187" s="282"/>
      <c r="D187" s="280"/>
      <c r="E187" s="279">
        <v>887</v>
      </c>
      <c r="F187" s="5">
        <v>887</v>
      </c>
    </row>
    <row r="188" spans="1:6" x14ac:dyDescent="0.25">
      <c r="A188" s="283"/>
      <c r="B188" s="281"/>
      <c r="C188" s="282"/>
      <c r="D188" s="280"/>
      <c r="E188" s="279"/>
      <c r="F188" s="5">
        <v>898</v>
      </c>
    </row>
    <row r="189" spans="1:6" x14ac:dyDescent="0.25">
      <c r="A189" s="283"/>
      <c r="B189" s="281"/>
      <c r="C189" s="282">
        <v>910</v>
      </c>
      <c r="D189" s="280">
        <v>909</v>
      </c>
      <c r="E189" s="279">
        <v>909</v>
      </c>
      <c r="F189" s="5">
        <v>909</v>
      </c>
    </row>
    <row r="190" spans="1:6" x14ac:dyDescent="0.25">
      <c r="A190" s="283"/>
      <c r="B190" s="281"/>
      <c r="C190" s="282"/>
      <c r="D190" s="280"/>
      <c r="E190" s="279"/>
      <c r="F190" s="5">
        <v>920</v>
      </c>
    </row>
    <row r="191" spans="1:6" x14ac:dyDescent="0.25">
      <c r="A191" s="283"/>
      <c r="B191" s="281"/>
      <c r="C191" s="282"/>
      <c r="D191" s="280"/>
      <c r="E191" s="279">
        <v>931</v>
      </c>
      <c r="F191" s="5">
        <v>931</v>
      </c>
    </row>
    <row r="192" spans="1:6" x14ac:dyDescent="0.25">
      <c r="A192" s="283"/>
      <c r="B192" s="281"/>
      <c r="C192" s="282"/>
      <c r="D192" s="280"/>
      <c r="E192" s="279"/>
      <c r="F192" s="5">
        <v>942</v>
      </c>
    </row>
    <row r="193" spans="1:7" x14ac:dyDescent="0.25">
      <c r="A193" s="283"/>
      <c r="B193" s="281"/>
      <c r="C193" s="282"/>
      <c r="D193" s="280">
        <v>953</v>
      </c>
      <c r="E193" s="279">
        <v>953</v>
      </c>
      <c r="F193" s="5">
        <v>953</v>
      </c>
    </row>
    <row r="194" spans="1:7" x14ac:dyDescent="0.25">
      <c r="A194" s="283"/>
      <c r="B194" s="281"/>
      <c r="C194" s="282"/>
      <c r="D194" s="280"/>
      <c r="E194" s="279"/>
      <c r="F194" s="5">
        <v>965</v>
      </c>
    </row>
    <row r="195" spans="1:7" x14ac:dyDescent="0.25">
      <c r="A195" s="283"/>
      <c r="B195" s="281"/>
      <c r="C195" s="282"/>
      <c r="D195" s="280"/>
      <c r="E195" s="279">
        <v>976</v>
      </c>
      <c r="F195" s="5">
        <v>976</v>
      </c>
    </row>
    <row r="196" spans="1:7" x14ac:dyDescent="0.25">
      <c r="A196" s="283"/>
      <c r="B196" s="281"/>
      <c r="C196" s="282"/>
      <c r="D196" s="280"/>
      <c r="E196" s="279"/>
      <c r="F196" s="5">
        <v>988</v>
      </c>
    </row>
    <row r="197" spans="1:7" x14ac:dyDescent="0.25">
      <c r="A197" s="6">
        <v>1000</v>
      </c>
      <c r="B197" s="7">
        <v>1000</v>
      </c>
      <c r="C197" s="8">
        <v>1000</v>
      </c>
      <c r="D197" s="9">
        <v>1000</v>
      </c>
      <c r="E197" s="10">
        <v>1000</v>
      </c>
      <c r="F197" s="11">
        <v>1000</v>
      </c>
      <c r="G197" s="12" t="s">
        <v>59</v>
      </c>
    </row>
  </sheetData>
  <sheetProtection sheet="1" objects="1" scenarios="1"/>
  <mergeCells count="187">
    <mergeCell ref="C13:C20"/>
    <mergeCell ref="D13:D16"/>
    <mergeCell ref="E13:E14"/>
    <mergeCell ref="E15:E16"/>
    <mergeCell ref="D17:D20"/>
    <mergeCell ref="E17:E18"/>
    <mergeCell ref="E19:E20"/>
    <mergeCell ref="A1:F1"/>
    <mergeCell ref="A5:A36"/>
    <mergeCell ref="B5:B20"/>
    <mergeCell ref="C5:C12"/>
    <mergeCell ref="D5:D8"/>
    <mergeCell ref="E5:E6"/>
    <mergeCell ref="E7:E8"/>
    <mergeCell ref="D9:D12"/>
    <mergeCell ref="E9:E10"/>
    <mergeCell ref="E11:E12"/>
    <mergeCell ref="E29:E30"/>
    <mergeCell ref="E31:E32"/>
    <mergeCell ref="D33:D36"/>
    <mergeCell ref="E33:E34"/>
    <mergeCell ref="E35:E36"/>
    <mergeCell ref="A37:A68"/>
    <mergeCell ref="B37:B52"/>
    <mergeCell ref="C37:C44"/>
    <mergeCell ref="D37:D40"/>
    <mergeCell ref="E37:E38"/>
    <mergeCell ref="B21:B36"/>
    <mergeCell ref="C21:C28"/>
    <mergeCell ref="D21:D24"/>
    <mergeCell ref="E21:E22"/>
    <mergeCell ref="E23:E24"/>
    <mergeCell ref="D25:D28"/>
    <mergeCell ref="E25:E26"/>
    <mergeCell ref="E27:E28"/>
    <mergeCell ref="C29:C36"/>
    <mergeCell ref="D29:D32"/>
    <mergeCell ref="E39:E40"/>
    <mergeCell ref="D41:D44"/>
    <mergeCell ref="E41:E42"/>
    <mergeCell ref="E43:E44"/>
    <mergeCell ref="C45:C52"/>
    <mergeCell ref="D45:D48"/>
    <mergeCell ref="E45:E46"/>
    <mergeCell ref="E47:E48"/>
    <mergeCell ref="D49:D52"/>
    <mergeCell ref="E49:E50"/>
    <mergeCell ref="D61:D64"/>
    <mergeCell ref="E61:E62"/>
    <mergeCell ref="E63:E64"/>
    <mergeCell ref="D65:D68"/>
    <mergeCell ref="E65:E66"/>
    <mergeCell ref="E67:E68"/>
    <mergeCell ref="E51:E52"/>
    <mergeCell ref="B53:B68"/>
    <mergeCell ref="C53:C60"/>
    <mergeCell ref="D53:D56"/>
    <mergeCell ref="E53:E54"/>
    <mergeCell ref="E55:E56"/>
    <mergeCell ref="D57:D60"/>
    <mergeCell ref="E57:E58"/>
    <mergeCell ref="E59:E60"/>
    <mergeCell ref="C61:C68"/>
    <mergeCell ref="D77:D80"/>
    <mergeCell ref="E77:E78"/>
    <mergeCell ref="E79:E80"/>
    <mergeCell ref="D81:D84"/>
    <mergeCell ref="E81:E82"/>
    <mergeCell ref="E83:E84"/>
    <mergeCell ref="A69:A100"/>
    <mergeCell ref="B69:B84"/>
    <mergeCell ref="C69:C76"/>
    <mergeCell ref="D69:D72"/>
    <mergeCell ref="E69:E70"/>
    <mergeCell ref="E71:E72"/>
    <mergeCell ref="D73:D76"/>
    <mergeCell ref="E73:E74"/>
    <mergeCell ref="E75:E76"/>
    <mergeCell ref="C77:C84"/>
    <mergeCell ref="E93:E94"/>
    <mergeCell ref="E95:E96"/>
    <mergeCell ref="D97:D100"/>
    <mergeCell ref="E97:E98"/>
    <mergeCell ref="E99:E100"/>
    <mergeCell ref="A101:A132"/>
    <mergeCell ref="B101:B116"/>
    <mergeCell ref="C101:C108"/>
    <mergeCell ref="D101:D104"/>
    <mergeCell ref="E101:E102"/>
    <mergeCell ref="B85:B100"/>
    <mergeCell ref="C85:C92"/>
    <mergeCell ref="D85:D88"/>
    <mergeCell ref="E85:E86"/>
    <mergeCell ref="E87:E88"/>
    <mergeCell ref="D89:D92"/>
    <mergeCell ref="E89:E90"/>
    <mergeCell ref="E91:E92"/>
    <mergeCell ref="C93:C100"/>
    <mergeCell ref="D93:D96"/>
    <mergeCell ref="E103:E104"/>
    <mergeCell ref="D105:D108"/>
    <mergeCell ref="E105:E106"/>
    <mergeCell ref="E107:E108"/>
    <mergeCell ref="C109:C116"/>
    <mergeCell ref="D109:D112"/>
    <mergeCell ref="E109:E110"/>
    <mergeCell ref="E111:E112"/>
    <mergeCell ref="D113:D116"/>
    <mergeCell ref="E113:E114"/>
    <mergeCell ref="D125:D128"/>
    <mergeCell ref="E125:E126"/>
    <mergeCell ref="E127:E128"/>
    <mergeCell ref="D129:D132"/>
    <mergeCell ref="E129:E130"/>
    <mergeCell ref="E131:E132"/>
    <mergeCell ref="E115:E116"/>
    <mergeCell ref="B117:B132"/>
    <mergeCell ref="C117:C124"/>
    <mergeCell ref="D117:D120"/>
    <mergeCell ref="E117:E118"/>
    <mergeCell ref="E119:E120"/>
    <mergeCell ref="D121:D124"/>
    <mergeCell ref="E121:E122"/>
    <mergeCell ref="E123:E124"/>
    <mergeCell ref="C125:C132"/>
    <mergeCell ref="D141:D144"/>
    <mergeCell ref="E141:E142"/>
    <mergeCell ref="E143:E144"/>
    <mergeCell ref="D145:D148"/>
    <mergeCell ref="E145:E146"/>
    <mergeCell ref="E147:E148"/>
    <mergeCell ref="A133:A164"/>
    <mergeCell ref="B133:B148"/>
    <mergeCell ref="C133:C140"/>
    <mergeCell ref="D133:D136"/>
    <mergeCell ref="E133:E134"/>
    <mergeCell ref="E135:E136"/>
    <mergeCell ref="D137:D140"/>
    <mergeCell ref="E137:E138"/>
    <mergeCell ref="E139:E140"/>
    <mergeCell ref="C141:C148"/>
    <mergeCell ref="E157:E158"/>
    <mergeCell ref="E159:E160"/>
    <mergeCell ref="D161:D164"/>
    <mergeCell ref="E161:E162"/>
    <mergeCell ref="E163:E164"/>
    <mergeCell ref="A165:A196"/>
    <mergeCell ref="B165:B180"/>
    <mergeCell ref="C165:C172"/>
    <mergeCell ref="D165:D168"/>
    <mergeCell ref="E165:E166"/>
    <mergeCell ref="B149:B164"/>
    <mergeCell ref="C149:C156"/>
    <mergeCell ref="D149:D152"/>
    <mergeCell ref="E149:E150"/>
    <mergeCell ref="E151:E152"/>
    <mergeCell ref="D153:D156"/>
    <mergeCell ref="E153:E154"/>
    <mergeCell ref="E155:E156"/>
    <mergeCell ref="C157:C164"/>
    <mergeCell ref="D157:D160"/>
    <mergeCell ref="E167:E168"/>
    <mergeCell ref="D169:D172"/>
    <mergeCell ref="E169:E170"/>
    <mergeCell ref="E171:E172"/>
    <mergeCell ref="C173:C180"/>
    <mergeCell ref="D173:D176"/>
    <mergeCell ref="E173:E174"/>
    <mergeCell ref="E175:E176"/>
    <mergeCell ref="D177:D180"/>
    <mergeCell ref="E177:E178"/>
    <mergeCell ref="D189:D192"/>
    <mergeCell ref="E189:E190"/>
    <mergeCell ref="E191:E192"/>
    <mergeCell ref="D193:D196"/>
    <mergeCell ref="E193:E194"/>
    <mergeCell ref="E195:E196"/>
    <mergeCell ref="E179:E180"/>
    <mergeCell ref="B181:B196"/>
    <mergeCell ref="C181:C188"/>
    <mergeCell ref="D181:D184"/>
    <mergeCell ref="E181:E182"/>
    <mergeCell ref="E183:E184"/>
    <mergeCell ref="D185:D188"/>
    <mergeCell ref="E185:E186"/>
    <mergeCell ref="E187:E188"/>
    <mergeCell ref="C189:C19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499984740745262"/>
  </sheetPr>
  <dimension ref="A1:F75"/>
  <sheetViews>
    <sheetView workbookViewId="0">
      <pane xSplit="1" ySplit="3" topLeftCell="B65" activePane="bottomRight" state="frozen"/>
      <selection activeCell="G170" sqref="G170"/>
      <selection pane="topRight" activeCell="G170" sqref="G170"/>
      <selection pane="bottomLeft" activeCell="G170" sqref="G170"/>
      <selection pane="bottomRight" activeCell="C75" sqref="C75"/>
    </sheetView>
  </sheetViews>
  <sheetFormatPr defaultRowHeight="15" x14ac:dyDescent="0.25"/>
  <cols>
    <col min="1" max="4" width="9.42578125" bestFit="1" customWidth="1"/>
  </cols>
  <sheetData>
    <row r="1" spans="1:4" ht="26.25" x14ac:dyDescent="0.4">
      <c r="A1" s="15" t="s">
        <v>61</v>
      </c>
      <c r="B1" s="15"/>
    </row>
    <row r="3" spans="1:4" x14ac:dyDescent="0.25">
      <c r="A3" s="13" t="s">
        <v>43</v>
      </c>
      <c r="B3" s="13" t="s">
        <v>8</v>
      </c>
      <c r="C3" s="13" t="s">
        <v>60</v>
      </c>
      <c r="D3" s="13" t="s">
        <v>62</v>
      </c>
    </row>
    <row r="4" spans="1:4" x14ac:dyDescent="0.25">
      <c r="A4" s="14">
        <v>1</v>
      </c>
      <c r="B4" s="14">
        <v>1</v>
      </c>
      <c r="C4" s="14">
        <v>1</v>
      </c>
      <c r="D4" s="14">
        <v>1</v>
      </c>
    </row>
    <row r="5" spans="1:4" x14ac:dyDescent="0.25">
      <c r="A5" s="14">
        <v>1.1000000000000001</v>
      </c>
      <c r="B5" s="14">
        <v>1.1000000000000001</v>
      </c>
      <c r="C5" s="14"/>
      <c r="D5" s="14"/>
    </row>
    <row r="6" spans="1:4" x14ac:dyDescent="0.25">
      <c r="A6" s="14">
        <v>1.2</v>
      </c>
      <c r="B6" s="14">
        <v>1.2</v>
      </c>
      <c r="C6" s="14"/>
      <c r="D6" s="14"/>
    </row>
    <row r="7" spans="1:4" x14ac:dyDescent="0.25">
      <c r="A7" s="14">
        <v>1.3</v>
      </c>
      <c r="B7" s="14">
        <v>1.3</v>
      </c>
      <c r="C7" s="14"/>
      <c r="D7" s="14"/>
    </row>
    <row r="8" spans="1:4" x14ac:dyDescent="0.25">
      <c r="A8" s="14">
        <v>1.5</v>
      </c>
      <c r="B8" s="14">
        <v>1.5</v>
      </c>
      <c r="C8" s="14">
        <v>1.5</v>
      </c>
      <c r="D8" s="14">
        <v>1.5</v>
      </c>
    </row>
    <row r="9" spans="1:4" x14ac:dyDescent="0.25">
      <c r="A9" s="14">
        <v>1.6</v>
      </c>
      <c r="B9" s="14">
        <v>1.6</v>
      </c>
      <c r="C9" s="14"/>
      <c r="D9" s="14"/>
    </row>
    <row r="10" spans="1:4" x14ac:dyDescent="0.25">
      <c r="A10" s="14">
        <v>1.8</v>
      </c>
      <c r="B10" s="14">
        <v>1.8</v>
      </c>
      <c r="C10" s="14"/>
      <c r="D10" s="14"/>
    </row>
    <row r="11" spans="1:4" x14ac:dyDescent="0.25">
      <c r="A11" s="14">
        <v>2</v>
      </c>
      <c r="B11" s="14">
        <v>2</v>
      </c>
      <c r="C11" s="14"/>
      <c r="D11" s="14"/>
    </row>
    <row r="12" spans="1:4" x14ac:dyDescent="0.25">
      <c r="A12" s="14">
        <v>2.2000000000000002</v>
      </c>
      <c r="B12" s="14">
        <v>2.2000000000000002</v>
      </c>
      <c r="C12" s="14">
        <v>2.2000000000000002</v>
      </c>
      <c r="D12" s="14">
        <v>2.2000000000000002</v>
      </c>
    </row>
    <row r="13" spans="1:4" x14ac:dyDescent="0.25">
      <c r="A13" s="14">
        <v>2.4</v>
      </c>
      <c r="B13" s="14">
        <v>2.4</v>
      </c>
      <c r="C13" s="14"/>
      <c r="D13" s="14"/>
    </row>
    <row r="14" spans="1:4" x14ac:dyDescent="0.25">
      <c r="A14" s="14">
        <v>2.7</v>
      </c>
      <c r="B14" s="14">
        <v>2.7</v>
      </c>
      <c r="C14" s="14"/>
      <c r="D14" s="14"/>
    </row>
    <row r="15" spans="1:4" x14ac:dyDescent="0.25">
      <c r="A15" s="14">
        <v>3</v>
      </c>
      <c r="B15" s="14">
        <v>3</v>
      </c>
      <c r="C15" s="14"/>
      <c r="D15" s="14"/>
    </row>
    <row r="16" spans="1:4" x14ac:dyDescent="0.25">
      <c r="A16" s="14">
        <v>3.3</v>
      </c>
      <c r="B16" s="14">
        <v>3.3</v>
      </c>
      <c r="C16" s="14">
        <v>3.3</v>
      </c>
      <c r="D16" s="14">
        <v>3.3</v>
      </c>
    </row>
    <row r="17" spans="1:6" x14ac:dyDescent="0.25">
      <c r="A17" s="14">
        <v>3.6</v>
      </c>
      <c r="B17" s="14">
        <v>3.6</v>
      </c>
      <c r="C17" s="14">
        <f>C18</f>
        <v>4.7</v>
      </c>
      <c r="D17" s="14"/>
    </row>
    <row r="18" spans="1:6" x14ac:dyDescent="0.25">
      <c r="A18" s="14">
        <v>3.9</v>
      </c>
      <c r="B18" s="14">
        <v>3.9</v>
      </c>
      <c r="C18" s="14">
        <f>C19</f>
        <v>4.7</v>
      </c>
      <c r="D18" s="14"/>
    </row>
    <row r="19" spans="1:6" x14ac:dyDescent="0.25">
      <c r="A19" s="14">
        <v>4.3</v>
      </c>
      <c r="B19" s="14">
        <v>4.3</v>
      </c>
      <c r="C19" s="14">
        <f>C20</f>
        <v>4.7</v>
      </c>
      <c r="D19" s="14"/>
    </row>
    <row r="20" spans="1:6" x14ac:dyDescent="0.25">
      <c r="A20" s="14">
        <v>4.7</v>
      </c>
      <c r="B20" s="14">
        <v>4.7</v>
      </c>
      <c r="C20" s="14">
        <v>4.7</v>
      </c>
      <c r="D20" s="14">
        <v>4.7</v>
      </c>
    </row>
    <row r="21" spans="1:6" x14ac:dyDescent="0.25">
      <c r="A21" s="14">
        <v>5.0999999999999996</v>
      </c>
      <c r="B21" s="14">
        <v>5.0999999999999996</v>
      </c>
      <c r="C21" s="14">
        <f>C22</f>
        <v>6.8</v>
      </c>
      <c r="D21" s="14"/>
    </row>
    <row r="22" spans="1:6" x14ac:dyDescent="0.25">
      <c r="A22" s="14">
        <v>5.6</v>
      </c>
      <c r="B22" s="14">
        <v>5.6</v>
      </c>
      <c r="C22" s="14">
        <f>C23</f>
        <v>6.8</v>
      </c>
      <c r="D22" s="14"/>
    </row>
    <row r="23" spans="1:6" x14ac:dyDescent="0.25">
      <c r="A23" s="14">
        <v>6.2</v>
      </c>
      <c r="B23" s="14">
        <v>6.2</v>
      </c>
      <c r="C23" s="14">
        <f>C24</f>
        <v>6.8</v>
      </c>
      <c r="D23" s="14"/>
    </row>
    <row r="24" spans="1:6" x14ac:dyDescent="0.25">
      <c r="A24" s="14">
        <v>6.8</v>
      </c>
      <c r="B24" s="14">
        <v>6.8</v>
      </c>
      <c r="C24" s="14">
        <v>6.8</v>
      </c>
      <c r="D24" s="14">
        <v>6.8</v>
      </c>
    </row>
    <row r="25" spans="1:6" x14ac:dyDescent="0.25">
      <c r="A25" s="14">
        <v>7.5</v>
      </c>
      <c r="B25" s="14">
        <v>7.5</v>
      </c>
      <c r="C25" s="14">
        <f>C26</f>
        <v>10</v>
      </c>
      <c r="D25" s="14"/>
    </row>
    <row r="26" spans="1:6" x14ac:dyDescent="0.25">
      <c r="A26" s="14">
        <v>8.1999999999999993</v>
      </c>
      <c r="B26" s="14">
        <v>8.1999999999999993</v>
      </c>
      <c r="C26" s="14">
        <f>C27</f>
        <v>10</v>
      </c>
      <c r="D26" s="14"/>
    </row>
    <row r="27" spans="1:6" x14ac:dyDescent="0.25">
      <c r="A27" s="14">
        <v>9.1</v>
      </c>
      <c r="B27" s="14">
        <v>9.1</v>
      </c>
      <c r="C27" s="14">
        <f>C28</f>
        <v>10</v>
      </c>
      <c r="D27" s="14"/>
    </row>
    <row r="28" spans="1:6" x14ac:dyDescent="0.25">
      <c r="A28" s="14">
        <v>10</v>
      </c>
      <c r="B28" s="14">
        <v>10</v>
      </c>
      <c r="C28" s="14">
        <v>10</v>
      </c>
      <c r="D28" s="14">
        <v>10</v>
      </c>
    </row>
    <row r="29" spans="1:6" x14ac:dyDescent="0.25">
      <c r="A29" s="14">
        <v>11</v>
      </c>
      <c r="B29" s="14">
        <f t="shared" ref="B29:C31" si="0">B30</f>
        <v>15</v>
      </c>
      <c r="C29" s="14">
        <f t="shared" si="0"/>
        <v>15</v>
      </c>
      <c r="D29" s="14"/>
    </row>
    <row r="30" spans="1:6" x14ac:dyDescent="0.25">
      <c r="A30" s="14">
        <v>12</v>
      </c>
      <c r="B30" s="14">
        <f t="shared" si="0"/>
        <v>15</v>
      </c>
      <c r="C30" s="14">
        <f t="shared" si="0"/>
        <v>15</v>
      </c>
      <c r="D30" s="14"/>
    </row>
    <row r="31" spans="1:6" x14ac:dyDescent="0.25">
      <c r="A31" s="14">
        <v>13</v>
      </c>
      <c r="B31" s="14">
        <f t="shared" si="0"/>
        <v>15</v>
      </c>
      <c r="C31" s="14">
        <f t="shared" si="0"/>
        <v>15</v>
      </c>
      <c r="D31" s="14"/>
    </row>
    <row r="32" spans="1:6" x14ac:dyDescent="0.25">
      <c r="A32" s="14">
        <v>15</v>
      </c>
      <c r="B32" s="14">
        <v>15</v>
      </c>
      <c r="C32" s="14">
        <v>15</v>
      </c>
      <c r="D32" s="14"/>
      <c r="F32" s="16"/>
    </row>
    <row r="33" spans="1:4" x14ac:dyDescent="0.25">
      <c r="A33" s="14">
        <v>16</v>
      </c>
      <c r="B33" s="14">
        <f t="shared" ref="B33:C35" si="1">B34</f>
        <v>22</v>
      </c>
      <c r="C33" s="14">
        <f t="shared" si="1"/>
        <v>22</v>
      </c>
      <c r="D33" s="14"/>
    </row>
    <row r="34" spans="1:4" x14ac:dyDescent="0.25">
      <c r="A34" s="14">
        <v>18</v>
      </c>
      <c r="B34" s="14">
        <f t="shared" si="1"/>
        <v>22</v>
      </c>
      <c r="C34" s="14">
        <f t="shared" si="1"/>
        <v>22</v>
      </c>
      <c r="D34" s="14"/>
    </row>
    <row r="35" spans="1:4" x14ac:dyDescent="0.25">
      <c r="A35" s="14">
        <v>20</v>
      </c>
      <c r="B35" s="14">
        <f t="shared" si="1"/>
        <v>22</v>
      </c>
      <c r="C35" s="14">
        <f t="shared" si="1"/>
        <v>22</v>
      </c>
      <c r="D35" s="14"/>
    </row>
    <row r="36" spans="1:4" x14ac:dyDescent="0.25">
      <c r="A36" s="14">
        <v>22</v>
      </c>
      <c r="B36" s="14">
        <v>22</v>
      </c>
      <c r="C36" s="14">
        <v>22</v>
      </c>
      <c r="D36" s="14"/>
    </row>
    <row r="37" spans="1:4" x14ac:dyDescent="0.25">
      <c r="A37" s="14">
        <v>24</v>
      </c>
      <c r="B37" s="14">
        <f t="shared" ref="B37:C39" si="2">B38</f>
        <v>33</v>
      </c>
      <c r="C37" s="14">
        <f t="shared" si="2"/>
        <v>33</v>
      </c>
      <c r="D37" s="14"/>
    </row>
    <row r="38" spans="1:4" x14ac:dyDescent="0.25">
      <c r="A38" s="14">
        <v>27</v>
      </c>
      <c r="B38" s="14">
        <f t="shared" si="2"/>
        <v>33</v>
      </c>
      <c r="C38" s="14">
        <f t="shared" si="2"/>
        <v>33</v>
      </c>
      <c r="D38" s="14"/>
    </row>
    <row r="39" spans="1:4" x14ac:dyDescent="0.25">
      <c r="A39" s="14">
        <v>30</v>
      </c>
      <c r="B39" s="14">
        <f t="shared" si="2"/>
        <v>33</v>
      </c>
      <c r="C39" s="14">
        <f t="shared" si="2"/>
        <v>33</v>
      </c>
      <c r="D39" s="14"/>
    </row>
    <row r="40" spans="1:4" x14ac:dyDescent="0.25">
      <c r="A40" s="14">
        <v>33</v>
      </c>
      <c r="B40" s="14">
        <v>33</v>
      </c>
      <c r="C40" s="14">
        <v>33</v>
      </c>
      <c r="D40" s="14"/>
    </row>
    <row r="41" spans="1:4" x14ac:dyDescent="0.25">
      <c r="A41" s="14">
        <v>36</v>
      </c>
      <c r="B41" s="14">
        <f t="shared" ref="B41:C43" si="3">B42</f>
        <v>47</v>
      </c>
      <c r="C41" s="14">
        <f t="shared" si="3"/>
        <v>47</v>
      </c>
      <c r="D41" s="14"/>
    </row>
    <row r="42" spans="1:4" x14ac:dyDescent="0.25">
      <c r="A42" s="14">
        <v>39</v>
      </c>
      <c r="B42" s="14">
        <f t="shared" si="3"/>
        <v>47</v>
      </c>
      <c r="C42" s="14">
        <f t="shared" si="3"/>
        <v>47</v>
      </c>
      <c r="D42" s="14"/>
    </row>
    <row r="43" spans="1:4" x14ac:dyDescent="0.25">
      <c r="A43" s="14">
        <v>43</v>
      </c>
      <c r="B43" s="14">
        <f t="shared" si="3"/>
        <v>47</v>
      </c>
      <c r="C43" s="14">
        <f t="shared" si="3"/>
        <v>47</v>
      </c>
      <c r="D43" s="14"/>
    </row>
    <row r="44" spans="1:4" x14ac:dyDescent="0.25">
      <c r="A44" s="14">
        <v>47</v>
      </c>
      <c r="B44" s="14">
        <v>47</v>
      </c>
      <c r="C44" s="14">
        <v>47</v>
      </c>
      <c r="D44" s="14"/>
    </row>
    <row r="45" spans="1:4" x14ac:dyDescent="0.25">
      <c r="A45" s="14">
        <v>51</v>
      </c>
      <c r="B45" s="14">
        <f t="shared" ref="B45:C47" si="4">B46</f>
        <v>68</v>
      </c>
      <c r="C45" s="14">
        <f t="shared" si="4"/>
        <v>68</v>
      </c>
      <c r="D45" s="14"/>
    </row>
    <row r="46" spans="1:4" x14ac:dyDescent="0.25">
      <c r="A46" s="14">
        <v>56</v>
      </c>
      <c r="B46" s="14">
        <f t="shared" si="4"/>
        <v>68</v>
      </c>
      <c r="C46" s="14">
        <f t="shared" si="4"/>
        <v>68</v>
      </c>
      <c r="D46" s="14"/>
    </row>
    <row r="47" spans="1:4" x14ac:dyDescent="0.25">
      <c r="A47" s="14">
        <v>62</v>
      </c>
      <c r="B47" s="14">
        <f t="shared" si="4"/>
        <v>68</v>
      </c>
      <c r="C47" s="14">
        <f t="shared" si="4"/>
        <v>68</v>
      </c>
      <c r="D47" s="14"/>
    </row>
    <row r="48" spans="1:4" x14ac:dyDescent="0.25">
      <c r="A48" s="14">
        <v>68</v>
      </c>
      <c r="B48" s="14">
        <v>68</v>
      </c>
      <c r="C48" s="14">
        <v>68</v>
      </c>
      <c r="D48" s="14"/>
    </row>
    <row r="49" spans="1:4" x14ac:dyDescent="0.25">
      <c r="A49" s="14">
        <v>75</v>
      </c>
      <c r="B49" s="14">
        <f t="shared" ref="B49:C51" si="5">B50</f>
        <v>100</v>
      </c>
      <c r="C49" s="14">
        <f t="shared" si="5"/>
        <v>100</v>
      </c>
      <c r="D49" s="14"/>
    </row>
    <row r="50" spans="1:4" x14ac:dyDescent="0.25">
      <c r="A50" s="14">
        <v>82</v>
      </c>
      <c r="B50" s="14">
        <f t="shared" si="5"/>
        <v>100</v>
      </c>
      <c r="C50" s="14">
        <f t="shared" si="5"/>
        <v>100</v>
      </c>
      <c r="D50" s="14"/>
    </row>
    <row r="51" spans="1:4" x14ac:dyDescent="0.25">
      <c r="A51" s="14">
        <v>91</v>
      </c>
      <c r="B51" s="14">
        <f t="shared" si="5"/>
        <v>100</v>
      </c>
      <c r="C51" s="14">
        <f t="shared" si="5"/>
        <v>100</v>
      </c>
      <c r="D51" s="14"/>
    </row>
    <row r="52" spans="1:4" x14ac:dyDescent="0.25">
      <c r="A52" s="14">
        <v>100</v>
      </c>
      <c r="B52" s="14">
        <v>100</v>
      </c>
      <c r="C52" s="14">
        <v>100</v>
      </c>
    </row>
    <row r="53" spans="1:4" x14ac:dyDescent="0.25">
      <c r="A53" s="14">
        <v>110</v>
      </c>
      <c r="B53" s="14">
        <f t="shared" ref="B53:C55" si="6">B54</f>
        <v>150</v>
      </c>
      <c r="C53" s="14">
        <f t="shared" si="6"/>
        <v>150</v>
      </c>
    </row>
    <row r="54" spans="1:4" x14ac:dyDescent="0.25">
      <c r="A54" s="14">
        <v>120</v>
      </c>
      <c r="B54" s="14">
        <f t="shared" si="6"/>
        <v>150</v>
      </c>
      <c r="C54" s="14">
        <f t="shared" si="6"/>
        <v>150</v>
      </c>
    </row>
    <row r="55" spans="1:4" x14ac:dyDescent="0.25">
      <c r="A55" s="14">
        <v>130</v>
      </c>
      <c r="B55" s="14">
        <f t="shared" si="6"/>
        <v>150</v>
      </c>
      <c r="C55" s="14">
        <f t="shared" si="6"/>
        <v>150</v>
      </c>
    </row>
    <row r="56" spans="1:4" x14ac:dyDescent="0.25">
      <c r="A56" s="14">
        <v>150</v>
      </c>
      <c r="B56" s="14">
        <v>150</v>
      </c>
      <c r="C56" s="14">
        <v>150</v>
      </c>
    </row>
    <row r="57" spans="1:4" x14ac:dyDescent="0.25">
      <c r="A57" s="14">
        <v>160</v>
      </c>
      <c r="B57" s="14">
        <f t="shared" ref="B57:C59" si="7">B58</f>
        <v>220</v>
      </c>
      <c r="C57" s="14">
        <f t="shared" si="7"/>
        <v>220</v>
      </c>
    </row>
    <row r="58" spans="1:4" x14ac:dyDescent="0.25">
      <c r="A58" s="14">
        <v>180</v>
      </c>
      <c r="B58" s="14">
        <f t="shared" si="7"/>
        <v>220</v>
      </c>
      <c r="C58" s="14">
        <f t="shared" si="7"/>
        <v>220</v>
      </c>
    </row>
    <row r="59" spans="1:4" x14ac:dyDescent="0.25">
      <c r="A59" s="14">
        <v>200</v>
      </c>
      <c r="B59" s="14">
        <f t="shared" si="7"/>
        <v>220</v>
      </c>
      <c r="C59" s="14">
        <f t="shared" si="7"/>
        <v>220</v>
      </c>
    </row>
    <row r="60" spans="1:4" x14ac:dyDescent="0.25">
      <c r="A60" s="14">
        <v>220</v>
      </c>
      <c r="B60" s="14">
        <v>220</v>
      </c>
      <c r="C60" s="14">
        <v>220</v>
      </c>
    </row>
    <row r="61" spans="1:4" x14ac:dyDescent="0.25">
      <c r="A61" s="14">
        <v>240</v>
      </c>
      <c r="B61" s="14">
        <f t="shared" ref="B61:C63" si="8">B62</f>
        <v>330</v>
      </c>
      <c r="C61" s="14">
        <f t="shared" si="8"/>
        <v>330</v>
      </c>
    </row>
    <row r="62" spans="1:4" x14ac:dyDescent="0.25">
      <c r="A62" s="14">
        <v>270</v>
      </c>
      <c r="B62" s="14">
        <f t="shared" si="8"/>
        <v>330</v>
      </c>
      <c r="C62" s="14">
        <f t="shared" si="8"/>
        <v>330</v>
      </c>
    </row>
    <row r="63" spans="1:4" x14ac:dyDescent="0.25">
      <c r="A63" s="14">
        <v>300</v>
      </c>
      <c r="B63" s="14">
        <f t="shared" si="8"/>
        <v>330</v>
      </c>
      <c r="C63" s="14">
        <f t="shared" si="8"/>
        <v>330</v>
      </c>
    </row>
    <row r="64" spans="1:4" x14ac:dyDescent="0.25">
      <c r="A64" s="14">
        <v>330</v>
      </c>
      <c r="B64" s="14">
        <v>330</v>
      </c>
      <c r="C64" s="14">
        <v>330</v>
      </c>
    </row>
    <row r="65" spans="1:3" x14ac:dyDescent="0.25">
      <c r="A65" s="14">
        <v>360</v>
      </c>
      <c r="B65" s="14">
        <f t="shared" ref="B65:C67" si="9">B66</f>
        <v>470</v>
      </c>
      <c r="C65" s="14">
        <f t="shared" si="9"/>
        <v>470</v>
      </c>
    </row>
    <row r="66" spans="1:3" x14ac:dyDescent="0.25">
      <c r="A66" s="14">
        <v>390</v>
      </c>
      <c r="B66" s="14">
        <f t="shared" si="9"/>
        <v>470</v>
      </c>
      <c r="C66" s="14">
        <f t="shared" si="9"/>
        <v>470</v>
      </c>
    </row>
    <row r="67" spans="1:3" x14ac:dyDescent="0.25">
      <c r="A67" s="14">
        <v>430</v>
      </c>
      <c r="B67" s="14">
        <f t="shared" si="9"/>
        <v>470</v>
      </c>
      <c r="C67" s="14">
        <f t="shared" si="9"/>
        <v>470</v>
      </c>
    </row>
    <row r="68" spans="1:3" x14ac:dyDescent="0.25">
      <c r="A68" s="14">
        <v>470</v>
      </c>
      <c r="B68" s="14">
        <v>470</v>
      </c>
      <c r="C68" s="14">
        <v>470</v>
      </c>
    </row>
    <row r="69" spans="1:3" x14ac:dyDescent="0.25">
      <c r="A69" s="14">
        <v>510</v>
      </c>
      <c r="B69" s="14">
        <f t="shared" ref="B69:C71" si="10">B70</f>
        <v>680</v>
      </c>
      <c r="C69" s="14">
        <f t="shared" si="10"/>
        <v>680</v>
      </c>
    </row>
    <row r="70" spans="1:3" x14ac:dyDescent="0.25">
      <c r="A70" s="14">
        <v>560</v>
      </c>
      <c r="B70" s="14">
        <f t="shared" si="10"/>
        <v>680</v>
      </c>
      <c r="C70" s="14">
        <f t="shared" si="10"/>
        <v>680</v>
      </c>
    </row>
    <row r="71" spans="1:3" x14ac:dyDescent="0.25">
      <c r="A71" s="14">
        <v>620</v>
      </c>
      <c r="B71" s="14">
        <f t="shared" si="10"/>
        <v>680</v>
      </c>
      <c r="C71" s="14">
        <f t="shared" si="10"/>
        <v>680</v>
      </c>
    </row>
    <row r="72" spans="1:3" x14ac:dyDescent="0.25">
      <c r="A72" s="14">
        <v>680</v>
      </c>
      <c r="B72" s="14">
        <v>680</v>
      </c>
      <c r="C72" s="14">
        <v>680</v>
      </c>
    </row>
    <row r="73" spans="1:3" x14ac:dyDescent="0.25">
      <c r="A73" s="14">
        <v>750</v>
      </c>
      <c r="B73" s="14">
        <f>B74</f>
        <v>1000</v>
      </c>
      <c r="C73" s="14">
        <f>C74</f>
        <v>1000</v>
      </c>
    </row>
    <row r="74" spans="1:3" x14ac:dyDescent="0.25">
      <c r="A74" s="14">
        <v>820</v>
      </c>
      <c r="B74" s="14">
        <f>B75</f>
        <v>1000</v>
      </c>
      <c r="C74" s="14">
        <f>C75</f>
        <v>1000</v>
      </c>
    </row>
    <row r="75" spans="1:3" x14ac:dyDescent="0.25">
      <c r="A75" s="14">
        <v>910</v>
      </c>
      <c r="B75" s="14">
        <v>1000</v>
      </c>
      <c r="C75" s="14">
        <v>1000</v>
      </c>
    </row>
  </sheetData>
  <sheetProtection sheet="1" objects="1" scenarios="1"/>
  <hyperlinks>
    <hyperlink ref="A1:B1" r:id="rId1" display="Standard Capacitor Values" xr:uid="{00000000-0004-0000-03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16A3-3D17-4B89-80F1-B969300DF9BB}">
  <sheetPr codeName="Sheet3"/>
  <dimension ref="A1:M28"/>
  <sheetViews>
    <sheetView zoomScale="63" workbookViewId="0">
      <selection activeCell="S19" sqref="S19"/>
    </sheetView>
  </sheetViews>
  <sheetFormatPr defaultRowHeight="15" x14ac:dyDescent="0.25"/>
  <cols>
    <col min="5" max="5" width="18.7109375" bestFit="1" customWidth="1"/>
    <col min="6" max="6" width="18.7109375" customWidth="1"/>
    <col min="7" max="7" width="9.85546875" bestFit="1" customWidth="1"/>
  </cols>
  <sheetData>
    <row r="1" spans="1:7" x14ac:dyDescent="0.25">
      <c r="A1" t="s">
        <v>143</v>
      </c>
      <c r="B1" t="s">
        <v>144</v>
      </c>
      <c r="C1" t="s">
        <v>145</v>
      </c>
      <c r="D1" t="s">
        <v>146</v>
      </c>
      <c r="E1" t="s">
        <v>147</v>
      </c>
      <c r="F1" t="s">
        <v>148</v>
      </c>
      <c r="G1" t="s">
        <v>149</v>
      </c>
    </row>
    <row r="2" spans="1:7" x14ac:dyDescent="0.25">
      <c r="A2">
        <v>25</v>
      </c>
      <c r="B2">
        <v>5.3529999999999998</v>
      </c>
      <c r="C2">
        <v>0.27399299999999999</v>
      </c>
      <c r="E2">
        <v>16</v>
      </c>
      <c r="F2">
        <f>E2*1000</f>
        <v>16000</v>
      </c>
      <c r="G2" s="148">
        <f>B2*C2</f>
        <v>1.4666845289999999</v>
      </c>
    </row>
    <row r="3" spans="1:7" x14ac:dyDescent="0.25">
      <c r="A3">
        <v>25</v>
      </c>
      <c r="B3">
        <v>6.8410000000000002</v>
      </c>
      <c r="C3">
        <v>0.27075900000000003</v>
      </c>
      <c r="E3">
        <v>16</v>
      </c>
      <c r="F3">
        <f t="shared" ref="F3:F21" si="0">E3*1000</f>
        <v>16000</v>
      </c>
      <c r="G3" s="148">
        <f>B3*C3</f>
        <v>1.8522623190000003</v>
      </c>
    </row>
    <row r="4" spans="1:7" x14ac:dyDescent="0.25">
      <c r="A4">
        <v>25</v>
      </c>
      <c r="B4">
        <v>8.9481760000000001</v>
      </c>
      <c r="C4">
        <v>0.261876</v>
      </c>
      <c r="D4">
        <v>13894435</v>
      </c>
      <c r="E4">
        <v>13.894435</v>
      </c>
      <c r="F4">
        <f t="shared" si="0"/>
        <v>13894.434999999999</v>
      </c>
      <c r="G4" s="148">
        <v>2.3433130000000002</v>
      </c>
    </row>
    <row r="5" spans="1:7" x14ac:dyDescent="0.25">
      <c r="A5">
        <v>25</v>
      </c>
      <c r="B5">
        <v>11.915012000000001</v>
      </c>
      <c r="C5">
        <v>0.26701200000000003</v>
      </c>
      <c r="D5">
        <v>2313228</v>
      </c>
      <c r="E5">
        <v>2.3132280000000001</v>
      </c>
      <c r="F5">
        <f t="shared" si="0"/>
        <v>2313.2280000000001</v>
      </c>
      <c r="G5" s="148">
        <v>3.181451</v>
      </c>
    </row>
    <row r="6" spans="1:7" x14ac:dyDescent="0.25">
      <c r="A6">
        <v>25</v>
      </c>
      <c r="B6">
        <v>14.348407999999999</v>
      </c>
      <c r="C6">
        <v>0.27335700000000002</v>
      </c>
      <c r="D6">
        <v>1179238</v>
      </c>
      <c r="E6">
        <v>1.179238</v>
      </c>
      <c r="F6">
        <f t="shared" si="0"/>
        <v>1179.2380000000001</v>
      </c>
      <c r="G6" s="148">
        <v>3.9222380000000001</v>
      </c>
    </row>
    <row r="7" spans="1:7" x14ac:dyDescent="0.25">
      <c r="A7">
        <v>25</v>
      </c>
      <c r="B7">
        <v>17.190396</v>
      </c>
      <c r="C7">
        <v>0.28403200000000001</v>
      </c>
      <c r="D7">
        <v>658129</v>
      </c>
      <c r="E7">
        <v>0.65812899999999996</v>
      </c>
      <c r="F7">
        <f t="shared" si="0"/>
        <v>658.12900000000002</v>
      </c>
      <c r="G7" s="148">
        <v>4.8826229999999997</v>
      </c>
    </row>
    <row r="8" spans="1:7" x14ac:dyDescent="0.25">
      <c r="A8">
        <v>25</v>
      </c>
      <c r="B8">
        <v>19.799713000000001</v>
      </c>
      <c r="C8">
        <v>0.29450599999999999</v>
      </c>
      <c r="D8">
        <v>420662</v>
      </c>
      <c r="E8">
        <v>0.42066199999999998</v>
      </c>
      <c r="F8">
        <f t="shared" si="0"/>
        <v>420.66199999999998</v>
      </c>
      <c r="G8" s="148">
        <v>5.8311339999999996</v>
      </c>
    </row>
    <row r="9" spans="1:7" x14ac:dyDescent="0.25">
      <c r="A9">
        <v>25</v>
      </c>
      <c r="B9">
        <v>5.3110600000000003</v>
      </c>
      <c r="C9">
        <v>1.316289</v>
      </c>
      <c r="D9">
        <v>130330</v>
      </c>
      <c r="E9">
        <v>0.13033</v>
      </c>
      <c r="F9">
        <f t="shared" si="0"/>
        <v>130.33000000000001</v>
      </c>
      <c r="G9" s="148">
        <v>6.9908900000000003</v>
      </c>
    </row>
    <row r="10" spans="1:7" x14ac:dyDescent="0.25">
      <c r="A10">
        <v>25</v>
      </c>
      <c r="B10">
        <v>6.8197210000000004</v>
      </c>
      <c r="C10">
        <v>1.203395</v>
      </c>
      <c r="D10">
        <v>30506</v>
      </c>
      <c r="E10">
        <v>3.0505999999999998E-2</v>
      </c>
      <c r="F10">
        <f t="shared" si="0"/>
        <v>30.505999999999997</v>
      </c>
      <c r="G10" s="148">
        <v>8.2068180000000002</v>
      </c>
    </row>
    <row r="11" spans="1:7" x14ac:dyDescent="0.25">
      <c r="A11">
        <v>25</v>
      </c>
      <c r="B11">
        <v>7.324999</v>
      </c>
      <c r="C11">
        <v>1.211452</v>
      </c>
      <c r="D11">
        <v>19211</v>
      </c>
      <c r="E11">
        <v>1.9210999999999999E-2</v>
      </c>
      <c r="F11">
        <f t="shared" si="0"/>
        <v>19.210999999999999</v>
      </c>
      <c r="G11" s="148">
        <v>8.8738849999999996</v>
      </c>
    </row>
    <row r="12" spans="1:7" x14ac:dyDescent="0.25">
      <c r="A12">
        <v>25</v>
      </c>
      <c r="B12">
        <v>8.7722549999999995</v>
      </c>
      <c r="C12">
        <v>1.166436</v>
      </c>
      <c r="D12">
        <v>6257</v>
      </c>
      <c r="E12">
        <v>6.2570000000000004E-3</v>
      </c>
      <c r="F12">
        <f t="shared" si="0"/>
        <v>6.2570000000000006</v>
      </c>
      <c r="G12" s="148">
        <v>10.232274</v>
      </c>
    </row>
    <row r="13" spans="1:7" x14ac:dyDescent="0.25">
      <c r="A13">
        <v>25</v>
      </c>
      <c r="B13">
        <v>16.575237000000001</v>
      </c>
      <c r="C13">
        <v>1.2151780000000001</v>
      </c>
      <c r="D13">
        <v>915</v>
      </c>
      <c r="E13">
        <v>9.1500000000000001E-4</v>
      </c>
      <c r="F13">
        <f t="shared" si="0"/>
        <v>0.91500000000000004</v>
      </c>
      <c r="G13" s="148">
        <v>20.141863000000001</v>
      </c>
    </row>
    <row r="14" spans="1:7" x14ac:dyDescent="0.25">
      <c r="A14">
        <v>25</v>
      </c>
      <c r="B14">
        <v>6.856617</v>
      </c>
      <c r="C14">
        <v>4.7034180000000001</v>
      </c>
      <c r="D14">
        <v>323</v>
      </c>
      <c r="E14">
        <v>3.2299999999999999E-4</v>
      </c>
      <c r="F14">
        <f t="shared" si="0"/>
        <v>0.32300000000000001</v>
      </c>
      <c r="G14" s="148">
        <v>32.249535999999999</v>
      </c>
    </row>
    <row r="15" spans="1:7" x14ac:dyDescent="0.25">
      <c r="A15">
        <v>25</v>
      </c>
      <c r="B15">
        <v>9.1899270000000008</v>
      </c>
      <c r="C15">
        <v>4.4264710000000003</v>
      </c>
      <c r="D15">
        <v>209</v>
      </c>
      <c r="E15">
        <v>2.0900000000000001E-4</v>
      </c>
      <c r="F15">
        <f t="shared" si="0"/>
        <v>0.20900000000000002</v>
      </c>
      <c r="G15" s="148">
        <v>40.678944999999999</v>
      </c>
    </row>
    <row r="16" spans="1:7" x14ac:dyDescent="0.25">
      <c r="A16">
        <v>25</v>
      </c>
      <c r="B16">
        <v>12.114768</v>
      </c>
      <c r="C16">
        <v>4.2250550000000002</v>
      </c>
      <c r="D16">
        <v>146</v>
      </c>
      <c r="E16">
        <v>1.46E-4</v>
      </c>
      <c r="F16">
        <f t="shared" si="0"/>
        <v>0.14599999999999999</v>
      </c>
      <c r="G16" s="148">
        <v>51.185561</v>
      </c>
    </row>
    <row r="17" spans="1:13" x14ac:dyDescent="0.25">
      <c r="A17">
        <v>25</v>
      </c>
      <c r="B17">
        <v>14.038558</v>
      </c>
      <c r="C17">
        <v>4.4889099999999997</v>
      </c>
      <c r="D17">
        <v>122</v>
      </c>
      <c r="E17">
        <v>1.22E-4</v>
      </c>
      <c r="F17">
        <f t="shared" si="0"/>
        <v>0.122</v>
      </c>
      <c r="G17" s="148">
        <v>63.017823</v>
      </c>
    </row>
    <row r="18" spans="1:13" x14ac:dyDescent="0.25">
      <c r="A18">
        <v>25</v>
      </c>
      <c r="B18">
        <v>15.945323</v>
      </c>
      <c r="C18">
        <v>4.56142</v>
      </c>
      <c r="D18">
        <v>105</v>
      </c>
      <c r="E18">
        <v>1.05E-4</v>
      </c>
      <c r="F18">
        <f t="shared" si="0"/>
        <v>0.10500000000000001</v>
      </c>
      <c r="G18" s="148">
        <v>72.733315000000005</v>
      </c>
    </row>
    <row r="19" spans="1:13" x14ac:dyDescent="0.25">
      <c r="A19">
        <v>25</v>
      </c>
      <c r="B19">
        <v>17.325458000000001</v>
      </c>
      <c r="C19">
        <v>4.6057309999999996</v>
      </c>
      <c r="D19">
        <v>98</v>
      </c>
      <c r="E19">
        <v>9.7999999999999997E-5</v>
      </c>
      <c r="F19">
        <f t="shared" si="0"/>
        <v>9.8000000000000004E-2</v>
      </c>
      <c r="G19" s="148">
        <v>79.796398999999994</v>
      </c>
    </row>
    <row r="20" spans="1:13" x14ac:dyDescent="0.25">
      <c r="A20">
        <v>25</v>
      </c>
      <c r="B20">
        <v>17.806688999999999</v>
      </c>
      <c r="C20">
        <v>4.6369509999999998</v>
      </c>
      <c r="D20">
        <v>95</v>
      </c>
      <c r="E20">
        <v>9.5000000000000005E-5</v>
      </c>
      <c r="F20">
        <f t="shared" si="0"/>
        <v>9.5000000000000001E-2</v>
      </c>
      <c r="G20" s="148">
        <v>82.568743999999995</v>
      </c>
    </row>
    <row r="21" spans="1:13" x14ac:dyDescent="0.25">
      <c r="A21">
        <v>25</v>
      </c>
      <c r="B21">
        <v>19.580662</v>
      </c>
      <c r="C21">
        <v>4.6802549999999998</v>
      </c>
      <c r="D21">
        <v>87</v>
      </c>
      <c r="E21">
        <v>8.7000000000000001E-5</v>
      </c>
      <c r="F21">
        <f t="shared" si="0"/>
        <v>8.6999999999999994E-2</v>
      </c>
      <c r="G21" s="148">
        <v>91.642491000000007</v>
      </c>
    </row>
    <row r="24" spans="1:13" x14ac:dyDescent="0.25">
      <c r="L24" s="36"/>
      <c r="M24" s="36"/>
    </row>
    <row r="25" spans="1:13" x14ac:dyDescent="0.25">
      <c r="L25" s="36"/>
      <c r="M25" s="36"/>
    </row>
    <row r="28" spans="1:13" x14ac:dyDescent="0.25">
      <c r="J28" s="1"/>
    </row>
  </sheetData>
  <sheetProtection algorithmName="SHA-512" hashValue="8u2E4HtWTt+EB7KIEYzJiZ8iHWUCha9/xoAJ7/ZoJC6S2W8EXACPcPWxmi6y9luSymJ7Prrvb7Lgjt3aLWrHmQ==" saltValue="v8a0I2U2UeoljA7eFxzwSg==" spinCount="100000" sheet="1" objects="1" scenarios="1"/>
  <autoFilter ref="A1:G21" xr:uid="{00000000-0009-0000-0000-000000000000}">
    <sortState xmlns:xlrd2="http://schemas.microsoft.com/office/spreadsheetml/2017/richdata2" ref="A2:H21">
      <sortCondition ref="G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E586-A0DC-4A69-A882-94ABCE2037FA}">
  <sheetPr codeName="Sheet5"/>
  <dimension ref="B1:Z63"/>
  <sheetViews>
    <sheetView topLeftCell="C4" zoomScale="99" zoomScaleNormal="70" workbookViewId="0">
      <selection activeCell="M55" sqref="M55"/>
    </sheetView>
  </sheetViews>
  <sheetFormatPr defaultRowHeight="15" x14ac:dyDescent="0.25"/>
  <cols>
    <col min="5" max="5" width="9.85546875" bestFit="1" customWidth="1"/>
    <col min="6" max="6" width="18.7109375" bestFit="1" customWidth="1"/>
    <col min="7" max="7" width="18.7109375" customWidth="1"/>
    <col min="8" max="8" width="20" bestFit="1" customWidth="1"/>
  </cols>
  <sheetData>
    <row r="1" spans="2:26" x14ac:dyDescent="0.25">
      <c r="B1" t="s">
        <v>144</v>
      </c>
      <c r="C1" t="s">
        <v>145</v>
      </c>
      <c r="D1" t="s">
        <v>146</v>
      </c>
      <c r="E1" t="s">
        <v>149</v>
      </c>
      <c r="F1" t="s">
        <v>147</v>
      </c>
      <c r="G1" t="s">
        <v>160</v>
      </c>
      <c r="H1" t="s">
        <v>161</v>
      </c>
      <c r="S1">
        <v>-40</v>
      </c>
      <c r="U1">
        <v>25</v>
      </c>
      <c r="W1">
        <v>85</v>
      </c>
      <c r="Y1">
        <v>125</v>
      </c>
    </row>
    <row r="2" spans="2:26" x14ac:dyDescent="0.25">
      <c r="S2">
        <v>4.5018440000000002</v>
      </c>
      <c r="T2">
        <v>2031.0100000000002</v>
      </c>
      <c r="U2">
        <v>2.1376979999999999</v>
      </c>
      <c r="V2">
        <v>23021.011000000002</v>
      </c>
      <c r="W2">
        <v>1.3278490000000001</v>
      </c>
      <c r="X2">
        <v>20761.421999999999</v>
      </c>
      <c r="Y2">
        <v>1.0391170000000001</v>
      </c>
      <c r="Z2">
        <v>782.36500000000001</v>
      </c>
    </row>
    <row r="3" spans="2:26" x14ac:dyDescent="0.25">
      <c r="B3">
        <v>2.758</v>
      </c>
      <c r="C3">
        <v>0.34</v>
      </c>
      <c r="E3">
        <f>B3*C3</f>
        <v>0.93772000000000011</v>
      </c>
      <c r="H3">
        <v>25</v>
      </c>
      <c r="S3">
        <v>4.8419489999999996</v>
      </c>
      <c r="T3">
        <v>1365.979</v>
      </c>
      <c r="U3">
        <v>2.1589710000000002</v>
      </c>
      <c r="V3">
        <v>19870.804</v>
      </c>
      <c r="W3">
        <v>1.345315</v>
      </c>
      <c r="X3">
        <v>14738.652999999998</v>
      </c>
      <c r="Y3">
        <v>1.1385240000000001</v>
      </c>
      <c r="Z3">
        <v>583.23</v>
      </c>
    </row>
    <row r="4" spans="2:26" x14ac:dyDescent="0.25">
      <c r="B4">
        <v>2.771344</v>
      </c>
      <c r="C4">
        <v>0.77135799999999999</v>
      </c>
      <c r="D4">
        <v>23021011</v>
      </c>
      <c r="E4">
        <v>2.1376979999999999</v>
      </c>
      <c r="F4">
        <v>23.021011000000001</v>
      </c>
      <c r="G4">
        <f t="shared" ref="G4:G7" si="0">1000*F4</f>
        <v>23021.011000000002</v>
      </c>
      <c r="H4">
        <v>25</v>
      </c>
      <c r="S4">
        <v>5.2583929999999999</v>
      </c>
      <c r="T4">
        <v>936.73500000000001</v>
      </c>
      <c r="U4">
        <v>2.2572540000000001</v>
      </c>
      <c r="V4">
        <v>9809.0869999999995</v>
      </c>
      <c r="W4">
        <v>1.3682460000000001</v>
      </c>
      <c r="X4">
        <v>11355.892000000002</v>
      </c>
      <c r="Y4">
        <v>1.253053</v>
      </c>
      <c r="Z4">
        <v>441.81299999999999</v>
      </c>
    </row>
    <row r="5" spans="2:26" x14ac:dyDescent="0.25">
      <c r="B5">
        <v>2.8697349999999999</v>
      </c>
      <c r="C5">
        <v>0.75232399999999999</v>
      </c>
      <c r="D5">
        <v>19870804</v>
      </c>
      <c r="E5">
        <v>2.1589710000000002</v>
      </c>
      <c r="F5">
        <v>19.870804</v>
      </c>
      <c r="G5">
        <f t="shared" si="0"/>
        <v>19870.804</v>
      </c>
      <c r="H5">
        <v>25</v>
      </c>
      <c r="S5">
        <v>5.9441639999999998</v>
      </c>
      <c r="T5">
        <v>673.94799999999998</v>
      </c>
      <c r="U5">
        <v>2.3368220000000002</v>
      </c>
      <c r="V5">
        <v>7830.7960000000003</v>
      </c>
      <c r="W5">
        <v>2.1167229999999999</v>
      </c>
      <c r="X5">
        <v>780.52</v>
      </c>
      <c r="Y5">
        <v>1.37079</v>
      </c>
      <c r="Z5">
        <v>344.15600000000001</v>
      </c>
    </row>
    <row r="6" spans="2:26" x14ac:dyDescent="0.25">
      <c r="B6">
        <v>3.197705</v>
      </c>
      <c r="C6">
        <v>0.70589800000000003</v>
      </c>
      <c r="D6">
        <v>9809087</v>
      </c>
      <c r="E6">
        <v>2.2572540000000001</v>
      </c>
      <c r="F6">
        <v>9.8090869999999999</v>
      </c>
      <c r="G6">
        <f t="shared" si="0"/>
        <v>9809.0869999999995</v>
      </c>
      <c r="H6">
        <v>25</v>
      </c>
      <c r="S6">
        <v>6.4502550000000003</v>
      </c>
      <c r="T6">
        <v>505.13200000000001</v>
      </c>
      <c r="U6">
        <v>4.5550519999999999</v>
      </c>
      <c r="V6">
        <v>497.69499999999999</v>
      </c>
      <c r="W6">
        <v>2.1513749999999998</v>
      </c>
      <c r="X6">
        <v>750.42699999999991</v>
      </c>
      <c r="Y6">
        <v>4.087796</v>
      </c>
      <c r="Z6">
        <v>12.623000000000001</v>
      </c>
    </row>
    <row r="7" spans="2:26" x14ac:dyDescent="0.25">
      <c r="B7">
        <v>3.4016609999999998</v>
      </c>
      <c r="C7">
        <v>0.68696500000000005</v>
      </c>
      <c r="D7">
        <v>7830796</v>
      </c>
      <c r="E7">
        <v>2.3368220000000002</v>
      </c>
      <c r="F7">
        <v>7.8307960000000003</v>
      </c>
      <c r="G7">
        <f t="shared" si="0"/>
        <v>7830.7960000000003</v>
      </c>
      <c r="H7">
        <v>25</v>
      </c>
      <c r="S7">
        <v>14.795442</v>
      </c>
      <c r="T7">
        <v>36.134</v>
      </c>
      <c r="U7">
        <v>4.8378249999999996</v>
      </c>
      <c r="V7">
        <v>375.97399999999999</v>
      </c>
      <c r="W7">
        <v>2.597</v>
      </c>
      <c r="X7">
        <v>405.90500000000003</v>
      </c>
      <c r="Y7">
        <v>4.6233829999999996</v>
      </c>
      <c r="Z7">
        <v>10.184000000000001</v>
      </c>
    </row>
    <row r="8" spans="2:26" x14ac:dyDescent="0.25">
      <c r="B8">
        <v>2.608384</v>
      </c>
      <c r="C8">
        <v>1.7463120000000001</v>
      </c>
      <c r="D8">
        <v>497695</v>
      </c>
      <c r="E8">
        <v>4.5550519999999999</v>
      </c>
      <c r="F8">
        <v>0.497695</v>
      </c>
      <c r="G8">
        <f>1000*F8</f>
        <v>497.69499999999999</v>
      </c>
      <c r="H8">
        <v>25</v>
      </c>
      <c r="S8">
        <v>18.052776999999999</v>
      </c>
      <c r="T8">
        <v>28.509</v>
      </c>
      <c r="U8">
        <v>5.3452330000000003</v>
      </c>
      <c r="V8">
        <v>281.928</v>
      </c>
      <c r="W8">
        <v>4.8429399999999996</v>
      </c>
      <c r="X8">
        <v>73.719000000000008</v>
      </c>
      <c r="Y8">
        <v>5.023212</v>
      </c>
      <c r="Z8">
        <v>8.0069999999999997</v>
      </c>
    </row>
    <row r="9" spans="2:26" x14ac:dyDescent="0.25">
      <c r="B9">
        <v>3.2622740000000001</v>
      </c>
      <c r="C9">
        <v>1.482961</v>
      </c>
      <c r="D9">
        <v>375974</v>
      </c>
      <c r="E9">
        <v>4.8378249999999996</v>
      </c>
      <c r="F9">
        <v>0.37597399999999997</v>
      </c>
      <c r="G9">
        <f t="shared" ref="G9:G63" si="1">1000*F9</f>
        <v>375.97399999999999</v>
      </c>
      <c r="H9">
        <v>25</v>
      </c>
      <c r="S9">
        <v>19.983069</v>
      </c>
      <c r="T9">
        <v>22.233000000000001</v>
      </c>
      <c r="U9">
        <v>5.8724150000000002</v>
      </c>
      <c r="V9">
        <v>220.768</v>
      </c>
      <c r="W9">
        <v>5.3878149999999998</v>
      </c>
      <c r="X9">
        <v>56.152999999999999</v>
      </c>
      <c r="Y9">
        <v>5.5319539999999998</v>
      </c>
      <c r="Z9">
        <v>6.375</v>
      </c>
    </row>
    <row r="10" spans="2:26" x14ac:dyDescent="0.25">
      <c r="B10">
        <v>3.781901</v>
      </c>
      <c r="C10">
        <v>1.4133720000000001</v>
      </c>
      <c r="D10">
        <v>281928</v>
      </c>
      <c r="E10">
        <v>5.3452330000000003</v>
      </c>
      <c r="F10">
        <v>0.28192800000000001</v>
      </c>
      <c r="G10">
        <f t="shared" si="1"/>
        <v>281.928</v>
      </c>
      <c r="H10">
        <v>25</v>
      </c>
      <c r="S10">
        <v>22.382984</v>
      </c>
      <c r="T10">
        <v>17.659000000000002</v>
      </c>
      <c r="U10">
        <v>6.3085209999999998</v>
      </c>
      <c r="V10">
        <v>169.96100000000001</v>
      </c>
      <c r="W10">
        <v>5.8753190000000002</v>
      </c>
      <c r="X10">
        <v>43.491</v>
      </c>
      <c r="Y10">
        <v>6.1079949999999998</v>
      </c>
      <c r="Z10">
        <v>5.1479999999999997</v>
      </c>
    </row>
    <row r="11" spans="2:26" x14ac:dyDescent="0.25">
      <c r="B11">
        <v>4.2953789999999996</v>
      </c>
      <c r="C11">
        <v>1.3671469999999999</v>
      </c>
      <c r="D11">
        <v>220768</v>
      </c>
      <c r="E11">
        <v>5.8724150000000002</v>
      </c>
      <c r="F11">
        <v>0.22076799999999999</v>
      </c>
      <c r="G11">
        <f t="shared" si="1"/>
        <v>220.768</v>
      </c>
      <c r="H11">
        <v>25</v>
      </c>
      <c r="U11">
        <v>17.054611000000001</v>
      </c>
      <c r="V11">
        <v>14.929</v>
      </c>
      <c r="W11">
        <v>6.403435</v>
      </c>
      <c r="X11">
        <v>34.577999999999996</v>
      </c>
      <c r="Y11">
        <v>16.830774000000002</v>
      </c>
      <c r="Z11">
        <v>0.625</v>
      </c>
    </row>
    <row r="12" spans="2:26" x14ac:dyDescent="0.25">
      <c r="B12">
        <v>4.7996319999999999</v>
      </c>
      <c r="C12">
        <v>1.314376</v>
      </c>
      <c r="D12">
        <v>169961</v>
      </c>
      <c r="E12">
        <v>6.3085209999999998</v>
      </c>
      <c r="F12">
        <v>0.169961</v>
      </c>
      <c r="G12">
        <f t="shared" si="1"/>
        <v>169.96100000000001</v>
      </c>
      <c r="H12">
        <v>25</v>
      </c>
      <c r="U12">
        <v>18.871649000000001</v>
      </c>
      <c r="V12">
        <v>11.42</v>
      </c>
      <c r="W12">
        <v>16.844407</v>
      </c>
      <c r="X12">
        <v>3.718</v>
      </c>
      <c r="Y12">
        <v>18.476970999999999</v>
      </c>
      <c r="Z12">
        <v>0.501</v>
      </c>
    </row>
    <row r="13" spans="2:26" x14ac:dyDescent="0.25">
      <c r="B13">
        <v>3.2059039999999999</v>
      </c>
      <c r="C13">
        <v>5.3197510000000001</v>
      </c>
      <c r="D13">
        <v>14929</v>
      </c>
      <c r="E13">
        <v>17.054611000000001</v>
      </c>
      <c r="F13">
        <v>1.4929E-2</v>
      </c>
      <c r="G13">
        <f t="shared" si="1"/>
        <v>14.929</v>
      </c>
      <c r="H13">
        <v>25</v>
      </c>
      <c r="U13">
        <v>20.611383</v>
      </c>
      <c r="V13">
        <v>9.0839999999999996</v>
      </c>
      <c r="W13">
        <v>18.913537000000002</v>
      </c>
      <c r="X13">
        <v>2.879</v>
      </c>
      <c r="Y13">
        <v>21.184594000000001</v>
      </c>
      <c r="Z13">
        <v>0.40400000000000003</v>
      </c>
    </row>
    <row r="14" spans="2:26" x14ac:dyDescent="0.25">
      <c r="B14">
        <v>3.7296309999999999</v>
      </c>
      <c r="C14">
        <v>5.0599239999999996</v>
      </c>
      <c r="D14">
        <v>11420</v>
      </c>
      <c r="E14">
        <v>18.871649000000001</v>
      </c>
      <c r="F14">
        <v>1.142E-2</v>
      </c>
      <c r="G14">
        <f t="shared" si="1"/>
        <v>11.42</v>
      </c>
      <c r="H14">
        <v>25</v>
      </c>
      <c r="U14">
        <v>23.036021999999999</v>
      </c>
      <c r="V14">
        <v>7.226</v>
      </c>
      <c r="W14">
        <v>21.181204999999999</v>
      </c>
      <c r="X14">
        <v>2.2850000000000001</v>
      </c>
      <c r="Y14">
        <v>23.563647</v>
      </c>
      <c r="Z14">
        <v>0.34900000000000003</v>
      </c>
    </row>
    <row r="15" spans="2:26" x14ac:dyDescent="0.25">
      <c r="B15">
        <v>4.2256850000000004</v>
      </c>
      <c r="C15">
        <v>4.877643</v>
      </c>
      <c r="D15">
        <v>9084</v>
      </c>
      <c r="E15">
        <v>20.611383</v>
      </c>
      <c r="F15">
        <v>9.0840000000000001E-3</v>
      </c>
      <c r="G15">
        <f t="shared" si="1"/>
        <v>9.0839999999999996</v>
      </c>
      <c r="H15">
        <v>25</v>
      </c>
      <c r="W15">
        <v>23.257106</v>
      </c>
      <c r="X15">
        <v>1.6759999999999999</v>
      </c>
    </row>
    <row r="16" spans="2:26" x14ac:dyDescent="0.25">
      <c r="B16">
        <v>4.7453120000000002</v>
      </c>
      <c r="C16">
        <v>4.8544799999999997</v>
      </c>
      <c r="D16">
        <v>7226</v>
      </c>
      <c r="E16">
        <v>23.036021999999999</v>
      </c>
      <c r="F16">
        <v>7.2259999999999998E-3</v>
      </c>
      <c r="G16">
        <f t="shared" si="1"/>
        <v>7.226</v>
      </c>
      <c r="H16">
        <v>25</v>
      </c>
    </row>
    <row r="17" spans="2:8" x14ac:dyDescent="0.25">
      <c r="G17">
        <f t="shared" si="1"/>
        <v>0</v>
      </c>
    </row>
    <row r="18" spans="2:8" x14ac:dyDescent="0.25">
      <c r="B18">
        <v>3.4369999999999998</v>
      </c>
      <c r="C18">
        <v>0.25950299999999998</v>
      </c>
      <c r="E18">
        <f>B18*C18</f>
        <v>0.89191181099999994</v>
      </c>
      <c r="G18">
        <f t="shared" si="1"/>
        <v>0</v>
      </c>
      <c r="H18">
        <v>85</v>
      </c>
    </row>
    <row r="19" spans="2:8" x14ac:dyDescent="0.25">
      <c r="B19">
        <v>3.9350000000000001</v>
      </c>
      <c r="C19">
        <v>0.24207899999999999</v>
      </c>
      <c r="E19">
        <f>B19*C19</f>
        <v>0.95258086499999994</v>
      </c>
      <c r="G19">
        <f t="shared" si="1"/>
        <v>0</v>
      </c>
      <c r="H19">
        <v>85</v>
      </c>
    </row>
    <row r="20" spans="2:8" x14ac:dyDescent="0.25">
      <c r="B20">
        <v>4.45</v>
      </c>
      <c r="C20">
        <v>0.2747</v>
      </c>
      <c r="E20">
        <f>B20*C20</f>
        <v>1.222415</v>
      </c>
      <c r="G20">
        <f t="shared" si="1"/>
        <v>0</v>
      </c>
      <c r="H20">
        <v>85</v>
      </c>
    </row>
    <row r="21" spans="2:8" x14ac:dyDescent="0.25">
      <c r="B21">
        <v>4.7852829999999997</v>
      </c>
      <c r="C21">
        <v>0.27748600000000001</v>
      </c>
      <c r="D21">
        <v>20761422</v>
      </c>
      <c r="E21">
        <v>1.3278490000000001</v>
      </c>
      <c r="F21">
        <v>20.761422</v>
      </c>
      <c r="G21">
        <f t="shared" si="1"/>
        <v>20761.421999999999</v>
      </c>
      <c r="H21">
        <v>85</v>
      </c>
    </row>
    <row r="22" spans="2:8" x14ac:dyDescent="0.25">
      <c r="B22">
        <v>4.8836740000000001</v>
      </c>
      <c r="C22">
        <v>0.27547199999999999</v>
      </c>
      <c r="D22">
        <v>14738653</v>
      </c>
      <c r="E22">
        <v>1.345315</v>
      </c>
      <c r="F22">
        <v>14.738652999999999</v>
      </c>
      <c r="G22">
        <f t="shared" si="1"/>
        <v>14738.652999999998</v>
      </c>
      <c r="H22">
        <v>85</v>
      </c>
    </row>
    <row r="23" spans="2:8" x14ac:dyDescent="0.25">
      <c r="B23">
        <v>4.9851400000000003</v>
      </c>
      <c r="C23">
        <v>0.27446500000000001</v>
      </c>
      <c r="D23">
        <v>11355892</v>
      </c>
      <c r="E23">
        <v>1.3682460000000001</v>
      </c>
      <c r="F23">
        <v>11.355892000000001</v>
      </c>
      <c r="G23">
        <f t="shared" si="1"/>
        <v>11355.892000000002</v>
      </c>
      <c r="H23">
        <v>85</v>
      </c>
    </row>
    <row r="24" spans="2:8" x14ac:dyDescent="0.25">
      <c r="B24">
        <v>2.561239</v>
      </c>
      <c r="C24">
        <v>0.82644499999999999</v>
      </c>
      <c r="D24">
        <v>780520</v>
      </c>
      <c r="E24">
        <v>2.1167229999999999</v>
      </c>
      <c r="F24">
        <v>0.78051999999999999</v>
      </c>
      <c r="G24">
        <f t="shared" si="1"/>
        <v>780.52</v>
      </c>
      <c r="H24">
        <v>85</v>
      </c>
    </row>
    <row r="25" spans="2:8" x14ac:dyDescent="0.25">
      <c r="B25">
        <v>2.771344</v>
      </c>
      <c r="C25">
        <v>0.77629300000000001</v>
      </c>
      <c r="D25">
        <v>750427</v>
      </c>
      <c r="E25">
        <v>2.1513749999999998</v>
      </c>
      <c r="F25">
        <v>0.75042699999999996</v>
      </c>
      <c r="G25">
        <f t="shared" si="1"/>
        <v>750.42699999999991</v>
      </c>
      <c r="H25">
        <v>85</v>
      </c>
    </row>
    <row r="26" spans="2:8" x14ac:dyDescent="0.25">
      <c r="B26">
        <v>3.9028399999999999</v>
      </c>
      <c r="C26">
        <v>0.66541300000000003</v>
      </c>
      <c r="D26">
        <v>405905</v>
      </c>
      <c r="E26">
        <v>2.597</v>
      </c>
      <c r="F26">
        <v>0.40590500000000002</v>
      </c>
      <c r="G26">
        <f t="shared" si="1"/>
        <v>405.90500000000003</v>
      </c>
      <c r="H26">
        <v>85</v>
      </c>
    </row>
    <row r="27" spans="2:8" x14ac:dyDescent="0.25">
      <c r="B27">
        <v>3.2284519999999999</v>
      </c>
      <c r="C27">
        <v>1.500081</v>
      </c>
      <c r="D27">
        <v>73719</v>
      </c>
      <c r="E27">
        <v>4.8429399999999996</v>
      </c>
      <c r="F27">
        <v>7.3719000000000007E-2</v>
      </c>
      <c r="G27">
        <f t="shared" si="1"/>
        <v>73.719000000000008</v>
      </c>
      <c r="H27">
        <v>85</v>
      </c>
    </row>
    <row r="28" spans="2:8" x14ac:dyDescent="0.25">
      <c r="B28">
        <v>3.7429549999999998</v>
      </c>
      <c r="C28">
        <v>1.4394549999999999</v>
      </c>
      <c r="D28">
        <v>56153</v>
      </c>
      <c r="E28">
        <v>5.3878149999999998</v>
      </c>
      <c r="F28">
        <v>5.6153000000000002E-2</v>
      </c>
      <c r="G28">
        <f t="shared" si="1"/>
        <v>56.152999999999999</v>
      </c>
      <c r="H28">
        <v>85</v>
      </c>
    </row>
    <row r="29" spans="2:8" x14ac:dyDescent="0.25">
      <c r="B29">
        <v>4.2564320000000002</v>
      </c>
      <c r="C29">
        <v>1.380339</v>
      </c>
      <c r="D29">
        <v>43491</v>
      </c>
      <c r="E29">
        <v>5.8753190000000002</v>
      </c>
      <c r="F29">
        <v>4.3491000000000002E-2</v>
      </c>
      <c r="G29">
        <f t="shared" si="1"/>
        <v>43.491</v>
      </c>
      <c r="H29">
        <v>85</v>
      </c>
    </row>
    <row r="30" spans="2:8" x14ac:dyDescent="0.25">
      <c r="B30">
        <v>4.7627350000000002</v>
      </c>
      <c r="C30">
        <v>1.344487</v>
      </c>
      <c r="D30">
        <v>34578</v>
      </c>
      <c r="E30">
        <v>6.403435</v>
      </c>
      <c r="F30">
        <v>3.4577999999999998E-2</v>
      </c>
      <c r="G30">
        <f t="shared" si="1"/>
        <v>34.577999999999996</v>
      </c>
      <c r="H30">
        <v>85</v>
      </c>
    </row>
    <row r="31" spans="2:8" x14ac:dyDescent="0.25">
      <c r="B31">
        <v>3.1485089999999998</v>
      </c>
      <c r="C31">
        <v>5.3499629999999998</v>
      </c>
      <c r="D31">
        <v>3718</v>
      </c>
      <c r="E31">
        <v>16.844407</v>
      </c>
      <c r="F31">
        <v>3.718E-3</v>
      </c>
      <c r="G31">
        <f t="shared" si="1"/>
        <v>3.718</v>
      </c>
      <c r="H31">
        <v>85</v>
      </c>
    </row>
    <row r="32" spans="2:8" x14ac:dyDescent="0.25">
      <c r="B32">
        <v>3.6671119999999999</v>
      </c>
      <c r="C32">
        <v>5.1576110000000002</v>
      </c>
      <c r="D32">
        <v>2879</v>
      </c>
      <c r="E32">
        <v>18.913537000000002</v>
      </c>
      <c r="F32">
        <v>2.879E-3</v>
      </c>
      <c r="G32">
        <f t="shared" si="1"/>
        <v>2.879</v>
      </c>
      <c r="H32">
        <v>85</v>
      </c>
    </row>
    <row r="33" spans="2:19" x14ac:dyDescent="0.25">
      <c r="B33">
        <v>4.1744399999999997</v>
      </c>
      <c r="C33">
        <v>5.0740230000000004</v>
      </c>
      <c r="D33">
        <v>2285</v>
      </c>
      <c r="E33">
        <v>21.181204999999999</v>
      </c>
      <c r="F33">
        <v>2.2850000000000001E-3</v>
      </c>
      <c r="G33">
        <f t="shared" si="1"/>
        <v>2.2850000000000001</v>
      </c>
      <c r="H33">
        <v>85</v>
      </c>
    </row>
    <row r="34" spans="2:19" x14ac:dyDescent="0.25">
      <c r="B34">
        <v>4.685867</v>
      </c>
      <c r="C34">
        <v>4.9632449999999997</v>
      </c>
      <c r="D34">
        <v>1676</v>
      </c>
      <c r="E34">
        <v>23.257106</v>
      </c>
      <c r="F34">
        <v>1.676E-3</v>
      </c>
      <c r="G34">
        <f t="shared" si="1"/>
        <v>1.6759999999999999</v>
      </c>
      <c r="H34">
        <v>85</v>
      </c>
    </row>
    <row r="35" spans="2:19" x14ac:dyDescent="0.25">
      <c r="G35">
        <f t="shared" si="1"/>
        <v>0</v>
      </c>
    </row>
    <row r="36" spans="2:19" x14ac:dyDescent="0.25">
      <c r="B36">
        <v>2.9578769999999999</v>
      </c>
      <c r="C36">
        <v>0.35130499999999998</v>
      </c>
      <c r="D36">
        <v>782365</v>
      </c>
      <c r="E36">
        <v>1.0391170000000001</v>
      </c>
      <c r="F36">
        <v>0.78236499999999998</v>
      </c>
      <c r="G36">
        <f t="shared" si="1"/>
        <v>782.36500000000001</v>
      </c>
      <c r="H36">
        <v>125</v>
      </c>
    </row>
    <row r="37" spans="2:19" x14ac:dyDescent="0.25">
      <c r="B37">
        <v>3.461106</v>
      </c>
      <c r="C37">
        <v>0.32894800000000002</v>
      </c>
      <c r="D37">
        <v>583230</v>
      </c>
      <c r="E37">
        <v>1.1385240000000001</v>
      </c>
      <c r="F37">
        <v>0.58323000000000003</v>
      </c>
      <c r="G37">
        <f t="shared" si="1"/>
        <v>583.23</v>
      </c>
      <c r="H37">
        <v>125</v>
      </c>
    </row>
    <row r="38" spans="2:19" x14ac:dyDescent="0.25">
      <c r="B38">
        <v>3.9684339999999998</v>
      </c>
      <c r="C38">
        <v>0.31575500000000001</v>
      </c>
      <c r="D38">
        <v>441813</v>
      </c>
      <c r="E38">
        <v>1.253053</v>
      </c>
      <c r="F38">
        <v>0.44181300000000001</v>
      </c>
      <c r="G38">
        <f t="shared" si="1"/>
        <v>441.81299999999999</v>
      </c>
      <c r="H38">
        <v>125</v>
      </c>
      <c r="S38" s="151"/>
    </row>
    <row r="39" spans="2:19" x14ac:dyDescent="0.25">
      <c r="B39">
        <v>4.4696119999999997</v>
      </c>
      <c r="C39">
        <v>0.30669099999999999</v>
      </c>
      <c r="D39">
        <v>344156</v>
      </c>
      <c r="E39">
        <v>1.37079</v>
      </c>
      <c r="F39">
        <v>0.34415600000000002</v>
      </c>
      <c r="G39">
        <f t="shared" si="1"/>
        <v>344.15600000000001</v>
      </c>
      <c r="H39">
        <v>125</v>
      </c>
      <c r="S39" s="151"/>
    </row>
    <row r="40" spans="2:19" x14ac:dyDescent="0.25">
      <c r="B40">
        <v>2.686277</v>
      </c>
      <c r="C40">
        <v>1.521733</v>
      </c>
      <c r="D40">
        <v>12623</v>
      </c>
      <c r="E40">
        <v>4.087796</v>
      </c>
      <c r="F40">
        <v>1.2623000000000001E-2</v>
      </c>
      <c r="G40">
        <f t="shared" si="1"/>
        <v>12.623000000000001</v>
      </c>
      <c r="H40">
        <v>125</v>
      </c>
      <c r="S40" s="151"/>
    </row>
    <row r="41" spans="2:19" x14ac:dyDescent="0.25">
      <c r="B41">
        <v>3.2182029999999999</v>
      </c>
      <c r="C41">
        <v>1.4366350000000001</v>
      </c>
      <c r="D41">
        <v>10184</v>
      </c>
      <c r="E41">
        <v>4.6233829999999996</v>
      </c>
      <c r="F41">
        <v>1.0184E-2</v>
      </c>
      <c r="G41">
        <f t="shared" si="1"/>
        <v>10.184000000000001</v>
      </c>
      <c r="H41">
        <v>125</v>
      </c>
      <c r="S41" s="151"/>
    </row>
    <row r="42" spans="2:19" x14ac:dyDescent="0.25">
      <c r="B42">
        <v>3.7347549999999998</v>
      </c>
      <c r="C42">
        <v>1.344991</v>
      </c>
      <c r="D42">
        <v>8007</v>
      </c>
      <c r="E42">
        <v>5.023212</v>
      </c>
      <c r="F42">
        <v>8.0070000000000002E-3</v>
      </c>
      <c r="G42">
        <f t="shared" si="1"/>
        <v>8.0069999999999997</v>
      </c>
      <c r="H42">
        <v>125</v>
      </c>
      <c r="S42" s="151"/>
    </row>
    <row r="43" spans="2:19" x14ac:dyDescent="0.25">
      <c r="B43">
        <v>4.2472079999999997</v>
      </c>
      <c r="C43">
        <v>1.302492</v>
      </c>
      <c r="D43">
        <v>6375</v>
      </c>
      <c r="E43">
        <v>5.5319539999999998</v>
      </c>
      <c r="F43">
        <v>6.3749999999999996E-3</v>
      </c>
      <c r="G43">
        <f t="shared" si="1"/>
        <v>6.375</v>
      </c>
      <c r="H43">
        <v>125</v>
      </c>
      <c r="S43" s="151"/>
    </row>
    <row r="44" spans="2:19" x14ac:dyDescent="0.25">
      <c r="B44">
        <v>4.7545359999999999</v>
      </c>
      <c r="C44">
        <v>1.284667</v>
      </c>
      <c r="D44">
        <v>5148</v>
      </c>
      <c r="E44">
        <v>6.1079949999999998</v>
      </c>
      <c r="F44">
        <v>5.1479999999999998E-3</v>
      </c>
      <c r="G44">
        <f t="shared" si="1"/>
        <v>5.1479999999999997</v>
      </c>
      <c r="H44">
        <v>125</v>
      </c>
    </row>
    <row r="45" spans="2:19" x14ac:dyDescent="0.25">
      <c r="B45">
        <v>3.1341610000000002</v>
      </c>
      <c r="C45">
        <v>5.3701049999999997</v>
      </c>
      <c r="D45">
        <v>625</v>
      </c>
      <c r="E45">
        <v>16.830774000000002</v>
      </c>
      <c r="F45">
        <v>6.2500000000000001E-4</v>
      </c>
      <c r="G45">
        <f t="shared" si="1"/>
        <v>0.625</v>
      </c>
      <c r="H45">
        <v>125</v>
      </c>
    </row>
    <row r="46" spans="2:19" x14ac:dyDescent="0.25">
      <c r="B46">
        <v>3.6589119999999999</v>
      </c>
      <c r="C46">
        <v>5.0498539999999998</v>
      </c>
      <c r="D46">
        <v>501</v>
      </c>
      <c r="E46">
        <v>18.476970999999999</v>
      </c>
      <c r="F46">
        <v>5.0100000000000003E-4</v>
      </c>
      <c r="G46">
        <f t="shared" si="1"/>
        <v>0.501</v>
      </c>
      <c r="H46">
        <v>125</v>
      </c>
    </row>
    <row r="47" spans="2:19" x14ac:dyDescent="0.25">
      <c r="B47">
        <v>4.1693150000000001</v>
      </c>
      <c r="C47">
        <v>5.081073</v>
      </c>
      <c r="D47">
        <v>404</v>
      </c>
      <c r="E47">
        <v>21.184594000000001</v>
      </c>
      <c r="F47">
        <v>4.0400000000000001E-4</v>
      </c>
      <c r="G47">
        <f t="shared" si="1"/>
        <v>0.40400000000000003</v>
      </c>
      <c r="H47">
        <v>125</v>
      </c>
    </row>
    <row r="48" spans="2:19" x14ac:dyDescent="0.25">
      <c r="B48">
        <v>4.6745939999999999</v>
      </c>
      <c r="C48">
        <v>5.0407900000000003</v>
      </c>
      <c r="D48">
        <v>349</v>
      </c>
      <c r="E48">
        <v>23.563647</v>
      </c>
      <c r="F48">
        <v>3.4900000000000003E-4</v>
      </c>
      <c r="G48">
        <f t="shared" si="1"/>
        <v>0.34900000000000003</v>
      </c>
      <c r="H48">
        <v>125</v>
      </c>
    </row>
    <row r="49" spans="2:8" x14ac:dyDescent="0.25">
      <c r="G49">
        <f t="shared" si="1"/>
        <v>0</v>
      </c>
    </row>
    <row r="50" spans="2:8" x14ac:dyDescent="0.25">
      <c r="B50">
        <v>2.9260000000000002</v>
      </c>
      <c r="C50">
        <v>0.33941399999999999</v>
      </c>
      <c r="E50">
        <f>B50*C50</f>
        <v>0.99312536400000007</v>
      </c>
      <c r="G50">
        <f t="shared" si="1"/>
        <v>0</v>
      </c>
      <c r="H50">
        <v>-40</v>
      </c>
    </row>
    <row r="51" spans="2:8" x14ac:dyDescent="0.25">
      <c r="B51">
        <v>3.43</v>
      </c>
      <c r="C51">
        <v>0.30612899999999998</v>
      </c>
      <c r="E51">
        <f>B51*C51</f>
        <v>1.05002247</v>
      </c>
      <c r="G51">
        <f t="shared" si="1"/>
        <v>0</v>
      </c>
      <c r="H51">
        <v>-40</v>
      </c>
    </row>
    <row r="52" spans="2:8" x14ac:dyDescent="0.25">
      <c r="B52">
        <v>3.931</v>
      </c>
      <c r="C52">
        <v>0.28817700000000002</v>
      </c>
      <c r="E52">
        <f>B52*C52</f>
        <v>1.132823787</v>
      </c>
      <c r="G52">
        <f t="shared" si="1"/>
        <v>0</v>
      </c>
      <c r="H52">
        <v>-40</v>
      </c>
    </row>
    <row r="53" spans="2:8" x14ac:dyDescent="0.25">
      <c r="B53">
        <v>4.4219999999999997</v>
      </c>
      <c r="C53">
        <v>0.27689900000000001</v>
      </c>
      <c r="E53">
        <f>B53*C53</f>
        <v>1.224447378</v>
      </c>
      <c r="G53">
        <f t="shared" si="1"/>
        <v>0</v>
      </c>
      <c r="H53">
        <v>-40</v>
      </c>
    </row>
    <row r="54" spans="2:8" x14ac:dyDescent="0.25">
      <c r="B54">
        <v>4.9359999999999999</v>
      </c>
      <c r="C54">
        <v>0.26941999999999999</v>
      </c>
      <c r="E54">
        <f>B54*C54</f>
        <v>1.32985712</v>
      </c>
      <c r="G54">
        <f t="shared" si="1"/>
        <v>0</v>
      </c>
      <c r="H54">
        <v>-40</v>
      </c>
    </row>
    <row r="55" spans="2:8" x14ac:dyDescent="0.25">
      <c r="B55">
        <v>2.7047249999999998</v>
      </c>
      <c r="C55">
        <v>1.6644369999999999</v>
      </c>
      <c r="D55">
        <v>2031010</v>
      </c>
      <c r="E55">
        <v>4.5018440000000002</v>
      </c>
      <c r="F55">
        <v>2.0310100000000002</v>
      </c>
      <c r="G55">
        <f t="shared" si="1"/>
        <v>2031.0100000000002</v>
      </c>
      <c r="H55">
        <v>-40</v>
      </c>
    </row>
    <row r="56" spans="2:8" x14ac:dyDescent="0.25">
      <c r="B56">
        <v>3.2489499999999998</v>
      </c>
      <c r="C56">
        <v>1.4903120000000001</v>
      </c>
      <c r="D56">
        <v>1365979</v>
      </c>
      <c r="E56">
        <v>4.8419489999999996</v>
      </c>
      <c r="F56">
        <v>1.3659790000000001</v>
      </c>
      <c r="G56">
        <f t="shared" si="1"/>
        <v>1365.979</v>
      </c>
      <c r="H56">
        <v>-40</v>
      </c>
    </row>
    <row r="57" spans="2:8" x14ac:dyDescent="0.25">
      <c r="B57">
        <v>3.7737020000000001</v>
      </c>
      <c r="C57">
        <v>1.3934310000000001</v>
      </c>
      <c r="D57">
        <v>936735</v>
      </c>
      <c r="E57">
        <v>5.2583929999999999</v>
      </c>
      <c r="F57">
        <v>0.93673499999999998</v>
      </c>
      <c r="G57">
        <f t="shared" si="1"/>
        <v>936.73500000000001</v>
      </c>
      <c r="H57">
        <v>-40</v>
      </c>
    </row>
    <row r="58" spans="2:8" x14ac:dyDescent="0.25">
      <c r="B58">
        <v>4.2912790000000003</v>
      </c>
      <c r="C58">
        <v>1.385173</v>
      </c>
      <c r="D58">
        <v>673948</v>
      </c>
      <c r="E58">
        <v>5.9441639999999998</v>
      </c>
      <c r="F58">
        <v>0.67394799999999999</v>
      </c>
      <c r="G58">
        <f t="shared" si="1"/>
        <v>673.94799999999998</v>
      </c>
      <c r="H58">
        <v>-40</v>
      </c>
    </row>
    <row r="59" spans="2:8" x14ac:dyDescent="0.25">
      <c r="B59">
        <v>4.8047560000000002</v>
      </c>
      <c r="C59">
        <v>1.342473</v>
      </c>
      <c r="D59">
        <v>505132</v>
      </c>
      <c r="E59">
        <v>6.4502550000000003</v>
      </c>
      <c r="F59">
        <v>0.50513200000000003</v>
      </c>
      <c r="G59">
        <f t="shared" si="1"/>
        <v>505.13200000000001</v>
      </c>
      <c r="H59">
        <v>-40</v>
      </c>
    </row>
    <row r="60" spans="2:8" x14ac:dyDescent="0.25">
      <c r="B60">
        <v>3.1249370000000001</v>
      </c>
      <c r="C60">
        <v>4.7346370000000002</v>
      </c>
      <c r="D60">
        <v>36134</v>
      </c>
      <c r="E60">
        <v>14.795442</v>
      </c>
      <c r="F60">
        <v>3.6133999999999999E-2</v>
      </c>
      <c r="G60">
        <f t="shared" si="1"/>
        <v>36.134</v>
      </c>
      <c r="H60">
        <v>-40</v>
      </c>
    </row>
    <row r="61" spans="2:8" x14ac:dyDescent="0.25">
      <c r="B61">
        <v>3.6558380000000001</v>
      </c>
      <c r="C61">
        <v>4.9380680000000003</v>
      </c>
      <c r="D61">
        <v>28509</v>
      </c>
      <c r="E61">
        <v>18.052776999999999</v>
      </c>
      <c r="F61">
        <v>2.8509E-2</v>
      </c>
      <c r="G61">
        <f t="shared" si="1"/>
        <v>28.509</v>
      </c>
      <c r="H61">
        <v>-40</v>
      </c>
    </row>
    <row r="62" spans="2:8" x14ac:dyDescent="0.25">
      <c r="B62">
        <v>4.1744399999999997</v>
      </c>
      <c r="C62">
        <v>4.7870059999999999</v>
      </c>
      <c r="D62">
        <v>22233</v>
      </c>
      <c r="E62">
        <v>19.983069</v>
      </c>
      <c r="F62">
        <v>2.2232999999999999E-2</v>
      </c>
      <c r="G62">
        <f t="shared" si="1"/>
        <v>22.233000000000001</v>
      </c>
      <c r="H62">
        <v>-40</v>
      </c>
    </row>
    <row r="63" spans="2:8" x14ac:dyDescent="0.25">
      <c r="B63">
        <v>4.6797180000000003</v>
      </c>
      <c r="C63">
        <v>4.7829769999999998</v>
      </c>
      <c r="D63">
        <v>17659</v>
      </c>
      <c r="E63">
        <v>22.382984</v>
      </c>
      <c r="F63">
        <v>1.7659000000000001E-2</v>
      </c>
      <c r="G63">
        <f t="shared" si="1"/>
        <v>17.659000000000002</v>
      </c>
      <c r="H63">
        <v>-40</v>
      </c>
    </row>
  </sheetData>
  <sheetProtection password="8AF2"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Calculation Sheet</vt:lpstr>
      <vt:lpstr>Res EIA Tables</vt:lpstr>
      <vt:lpstr>Cap Tables</vt:lpstr>
      <vt:lpstr>TREL PLOT</vt:lpstr>
      <vt:lpstr>TSD PLOT</vt:lpstr>
      <vt:lpstr>Cdvdt_ext</vt:lpstr>
      <vt:lpstr>Cdvdt_ext_cal1</vt:lpstr>
      <vt:lpstr>Cext_dvdt_cal2</vt:lpstr>
      <vt:lpstr>Cout</vt:lpstr>
      <vt:lpstr>GainIMON</vt:lpstr>
      <vt:lpstr>I_dVdt</vt:lpstr>
      <vt:lpstr>Icharge</vt:lpstr>
      <vt:lpstr>Icharge_req</vt:lpstr>
      <vt:lpstr>Ilimit</vt:lpstr>
      <vt:lpstr>Ilimit_final</vt:lpstr>
      <vt:lpstr>Imax</vt:lpstr>
      <vt:lpstr>OVref</vt:lpstr>
      <vt:lpstr>PGTH</vt:lpstr>
      <vt:lpstr>Rdson_125deg</vt:lpstr>
      <vt:lpstr>Rdson_25deg</vt:lpstr>
      <vt:lpstr>RILM</vt:lpstr>
      <vt:lpstr>Rlstart</vt:lpstr>
      <vt:lpstr>Tchg_dvdt</vt:lpstr>
      <vt:lpstr>Tchg_fastest</vt:lpstr>
      <vt:lpstr>Tchg_req</vt:lpstr>
      <vt:lpstr>UVref</vt:lpstr>
      <vt:lpstr>Uvref_fall</vt:lpstr>
      <vt:lpstr>Uvref_rise</vt:lpstr>
      <vt:lpstr>UVset</vt:lpstr>
      <vt:lpstr>Vcc_max</vt:lpstr>
      <vt:lpstr>Vcc_nom</vt:lpstr>
      <vt:lpstr>VUVP</vt:lpstr>
    </vt:vector>
  </TitlesOfParts>
  <Company>Texas Instruments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vishal.gupta@ti.com</dc:creator>
  <cp:lastModifiedBy>Gerhard Malan</cp:lastModifiedBy>
  <cp:lastPrinted>2013-06-05T10:58:25Z</cp:lastPrinted>
  <dcterms:created xsi:type="dcterms:W3CDTF">2013-05-30T14:28:05Z</dcterms:created>
  <dcterms:modified xsi:type="dcterms:W3CDTF">2025-07-26T05:10:21Z</dcterms:modified>
</cp:coreProperties>
</file>